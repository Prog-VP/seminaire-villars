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S:\MICE\OFFRES\"/>
    </mc:Choice>
  </mc:AlternateContent>
  <xr:revisionPtr revIDLastSave="0" documentId="13_ncr:1_{7AB4D13E-EF13-4AC9-8C30-15C9624EE702}" xr6:coauthVersionLast="47" xr6:coauthVersionMax="47" xr10:uidLastSave="{00000000-0000-0000-0000-000000000000}"/>
  <bookViews>
    <workbookView xWindow="-120" yWindow="-120" windowWidth="29040" windowHeight="15840" tabRatio="694" xr2:uid="{00000000-000D-0000-FFFF-FFFF00000000}"/>
  </bookViews>
  <sheets>
    <sheet name="2025" sheetId="2" r:id="rId1"/>
    <sheet name="Statistiques" sheetId="3" r:id="rId2"/>
    <sheet name="Listes automatisation" sheetId="4" r:id="rId3"/>
  </sheets>
  <definedNames>
    <definedName name="_xlnm._FilterDatabase" localSheetId="0" hidden="1">'2025'!$A$1:$AW$2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24" i="3" l="1"/>
  <c r="A27" i="3"/>
  <c r="B18" i="3"/>
  <c r="B19" i="3" a="1"/>
  <c r="B19" i="3"/>
  <c r="B17" i="3"/>
  <c r="D71" i="3"/>
  <c r="E71" i="3"/>
  <c r="C62" i="3"/>
  <c r="D62" i="3" s="1"/>
  <c r="C56" i="3"/>
  <c r="D56" i="3" s="1"/>
  <c r="C57" i="3"/>
  <c r="D57" i="3" s="1"/>
  <c r="C58" i="3"/>
  <c r="D58" i="3" s="1"/>
  <c r="C59" i="3"/>
  <c r="D59" i="3" s="1"/>
  <c r="C60" i="3"/>
  <c r="D60" i="3" s="1"/>
  <c r="C61" i="3"/>
  <c r="D61" i="3" s="1"/>
  <c r="C55" i="3"/>
  <c r="D55" i="3" s="1"/>
  <c r="C52" i="3"/>
  <c r="D52" i="3" s="1"/>
  <c r="C53" i="3"/>
  <c r="D53" i="3" s="1"/>
  <c r="C54" i="3"/>
  <c r="D54" i="3" s="1"/>
  <c r="C51" i="3"/>
  <c r="D51" i="3" s="1"/>
  <c r="B62" i="3"/>
  <c r="B61" i="3"/>
  <c r="B60" i="3"/>
  <c r="B58" i="3"/>
  <c r="B59" i="3"/>
  <c r="B57" i="3"/>
  <c r="B55" i="3"/>
  <c r="B56" i="3"/>
  <c r="B54" i="3"/>
  <c r="B53" i="3"/>
  <c r="B52" i="3"/>
  <c r="B51" i="3"/>
  <c r="B42" i="3"/>
  <c r="B41" i="3"/>
  <c r="B40" i="3"/>
  <c r="B39" i="3"/>
  <c r="B38" i="3"/>
  <c r="B37" i="3"/>
  <c r="B36" i="3"/>
  <c r="B35" i="3"/>
  <c r="B34" i="3"/>
  <c r="B33" i="3"/>
  <c r="B32" i="3"/>
  <c r="B31" i="3"/>
  <c r="B16" i="3" a="1"/>
  <c r="B16" i="3"/>
  <c r="B12" i="3"/>
  <c r="B11" i="3"/>
  <c r="B10" i="3"/>
  <c r="B9" i="3"/>
  <c r="B8" i="3"/>
  <c r="B7" i="3"/>
  <c r="B6" i="3"/>
  <c r="B5" i="3"/>
  <c r="B4" i="3"/>
  <c r="B3" i="3"/>
  <c r="B2" i="3"/>
  <c r="I75" i="3"/>
  <c r="J75" i="3"/>
  <c r="F75" i="3"/>
  <c r="K75" i="3" s="1"/>
  <c r="I71" i="3"/>
  <c r="F71" i="3"/>
  <c r="K71" i="3" s="1"/>
  <c r="B78" i="3"/>
  <c r="B77" i="3"/>
  <c r="B76" i="3"/>
  <c r="B75" i="3"/>
  <c r="G75" i="3" s="1"/>
  <c r="B74" i="3"/>
  <c r="B73" i="3"/>
  <c r="B72" i="3"/>
  <c r="B71" i="3"/>
  <c r="G71" i="3" s="1"/>
  <c r="J71" i="3"/>
  <c r="B84" i="3" l="1"/>
  <c r="B83" i="3"/>
  <c r="B43" i="3"/>
  <c r="C31" i="3" s="1"/>
  <c r="B20" i="3"/>
  <c r="B13" i="3"/>
  <c r="B79" i="3" l="1"/>
  <c r="C72" i="3"/>
  <c r="C73" i="3"/>
  <c r="C74" i="3"/>
  <c r="C78" i="3"/>
  <c r="C3" i="3"/>
  <c r="C2" i="3"/>
  <c r="C12" i="3"/>
  <c r="C75" i="3" l="1"/>
  <c r="H75" i="3" s="1"/>
  <c r="C76" i="3"/>
  <c r="C77" i="3"/>
  <c r="C71" i="3"/>
  <c r="C11" i="3"/>
  <c r="C10" i="3"/>
  <c r="C79" i="3" l="1"/>
  <c r="H71" i="3"/>
  <c r="C8" i="3"/>
  <c r="C9" i="3"/>
  <c r="B85" i="3"/>
  <c r="C19" i="3" l="1"/>
  <c r="B45" i="3"/>
  <c r="C42" i="3" l="1"/>
  <c r="C41" i="3"/>
  <c r="C40" i="3"/>
  <c r="C39" i="3"/>
  <c r="C38" i="3"/>
  <c r="C37" i="3"/>
  <c r="C36" i="3"/>
  <c r="C35" i="3"/>
  <c r="C34" i="3"/>
  <c r="C33" i="3"/>
  <c r="C32" i="3"/>
  <c r="C43" i="3"/>
  <c r="C18" i="3"/>
  <c r="C17" i="3"/>
  <c r="C16" i="3"/>
  <c r="C20" i="3" s="1"/>
  <c r="B46" i="3"/>
  <c r="C5" i="3"/>
  <c r="C7" i="3"/>
  <c r="C6" i="3"/>
  <c r="C4" i="3"/>
  <c r="C13" i="3" l="1"/>
  <c r="B47" i="3"/>
  <c r="B63" i="3" l="1"/>
  <c r="B65" i="3" l="1"/>
  <c r="B66" i="3"/>
  <c r="D63" i="3"/>
  <c r="C63" i="3"/>
  <c r="B67"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<sst xmlns="http://schemas.openxmlformats.org/spreadsheetml/2006/main" count="1220" uniqueCount="554">
  <si>
    <t>Entreprise</t>
  </si>
  <si>
    <t>Villars</t>
  </si>
  <si>
    <t>Royalp</t>
  </si>
  <si>
    <t>Alpe
Fleurie</t>
  </si>
  <si>
    <t>Ecureuil</t>
  </si>
  <si>
    <t>Sources</t>
  </si>
  <si>
    <t>Poste</t>
  </si>
  <si>
    <t>Lilas</t>
  </si>
  <si>
    <t>Pillon</t>
  </si>
  <si>
    <t>Transmis 
par</t>
  </si>
  <si>
    <t>Relance
faite</t>
  </si>
  <si>
    <t>Nom du contact</t>
  </si>
  <si>
    <t>Séminaire</t>
  </si>
  <si>
    <t>Type de séjour</t>
  </si>
  <si>
    <t>Station demandée</t>
  </si>
  <si>
    <t>Diablerets</t>
  </si>
  <si>
    <t>Disponibilité Villars</t>
  </si>
  <si>
    <t>Disponibilité Les Diablerets</t>
  </si>
  <si>
    <t>Catégorie hôtel - nb d'étoiles</t>
  </si>
  <si>
    <t>Agence</t>
  </si>
  <si>
    <t>Prénom du contact</t>
  </si>
  <si>
    <t>Email du contact</t>
  </si>
  <si>
    <t>Langue</t>
  </si>
  <si>
    <t>Lavey</t>
  </si>
  <si>
    <t>VIU</t>
  </si>
  <si>
    <t>Date de l'offre</t>
  </si>
  <si>
    <t>Société de contact</t>
  </si>
  <si>
    <t>Type de société</t>
  </si>
  <si>
    <t>Remarques sur l'offre et choix de l'hôtel</t>
  </si>
  <si>
    <t>Titre</t>
  </si>
  <si>
    <t>Traité par</t>
  </si>
  <si>
    <t>UK</t>
  </si>
  <si>
    <t>Villars Lodge</t>
  </si>
  <si>
    <t>Provenance des demandes</t>
  </si>
  <si>
    <t xml:space="preserve">Total </t>
  </si>
  <si>
    <t>Durée moyenne des séjours</t>
  </si>
  <si>
    <t>Taille moyenne des groupes</t>
  </si>
  <si>
    <t>Janvier</t>
  </si>
  <si>
    <t>Février</t>
  </si>
  <si>
    <t>Mars</t>
  </si>
  <si>
    <t>Avril</t>
  </si>
  <si>
    <t>Mai</t>
  </si>
  <si>
    <t>Juin</t>
  </si>
  <si>
    <t>Juillet</t>
  </si>
  <si>
    <t>Août</t>
  </si>
  <si>
    <t>Septembre</t>
  </si>
  <si>
    <t>Octobre</t>
  </si>
  <si>
    <t>Novembre</t>
  </si>
  <si>
    <t>Décembre</t>
  </si>
  <si>
    <t>Hiver</t>
  </si>
  <si>
    <t>Eté</t>
  </si>
  <si>
    <t>Total</t>
  </si>
  <si>
    <t>Réception des demandes via</t>
  </si>
  <si>
    <t>SCIB</t>
  </si>
  <si>
    <t>Palace</t>
  </si>
  <si>
    <t>Victoria</t>
  </si>
  <si>
    <t>Confirmation de séjour</t>
  </si>
  <si>
    <t>Pas de réponses</t>
  </si>
  <si>
    <t>Séjours confirmés</t>
  </si>
  <si>
    <t>Offres déclinées</t>
  </si>
  <si>
    <t>Nombre de nuits</t>
  </si>
  <si>
    <t>Nombre de pax</t>
  </si>
  <si>
    <t>Les Mazots du Clos</t>
  </si>
  <si>
    <t xml:space="preserve">Activités Villars X/Diablerets X </t>
  </si>
  <si>
    <t>FR</t>
  </si>
  <si>
    <t>Pays</t>
  </si>
  <si>
    <t>Annulé</t>
  </si>
  <si>
    <t>Confirmé</t>
  </si>
  <si>
    <t>En cours</t>
  </si>
  <si>
    <t>Retour effectué aux hôtels</t>
  </si>
  <si>
    <t>Sans réponse</t>
  </si>
  <si>
    <t>CH</t>
  </si>
  <si>
    <t>BE</t>
  </si>
  <si>
    <t>LUX</t>
  </si>
  <si>
    <t>EN</t>
  </si>
  <si>
    <t>Mme</t>
  </si>
  <si>
    <t>oui</t>
  </si>
  <si>
    <t>MP</t>
  </si>
  <si>
    <t>SWE</t>
  </si>
  <si>
    <t>VP</t>
  </si>
  <si>
    <t>Direct</t>
  </si>
  <si>
    <t>Autre</t>
  </si>
  <si>
    <t>jour</t>
  </si>
  <si>
    <t>mois</t>
  </si>
  <si>
    <t>jours</t>
  </si>
  <si>
    <t>année</t>
  </si>
  <si>
    <t xml:space="preserve">Réservation effectuée </t>
  </si>
  <si>
    <t>4*</t>
  </si>
  <si>
    <t>IT</t>
  </si>
  <si>
    <t>UAE</t>
  </si>
  <si>
    <t>Contact entré dans Brevo</t>
  </si>
  <si>
    <t>CA</t>
  </si>
  <si>
    <t>NL</t>
  </si>
  <si>
    <t>CN</t>
  </si>
  <si>
    <t>Incentive / Groupe</t>
  </si>
  <si>
    <t>Pas d'offre</t>
  </si>
  <si>
    <t>DIRECT</t>
  </si>
  <si>
    <t>BT Events</t>
  </si>
  <si>
    <t>PL</t>
  </si>
  <si>
    <t>dominika.makos@btevents.pl</t>
  </si>
  <si>
    <t>Makos</t>
  </si>
  <si>
    <t>Dominika</t>
  </si>
  <si>
    <t>26-30</t>
  </si>
  <si>
    <t>Demande transmise à VX pour les activités.</t>
  </si>
  <si>
    <t>L'agence a demandé une offre en direct au VIU. Ils ne nous ont contacté que pour les activités. Nous avons également reçu la demande de Vaud Promotion le 07.01.25. VX leur envoie une offre le 07.01.25.</t>
  </si>
  <si>
    <t>Blue Sky Travel</t>
  </si>
  <si>
    <t>holiday@blueskytravel.be</t>
  </si>
  <si>
    <t>Outers</t>
  </si>
  <si>
    <t>Joëlle</t>
  </si>
  <si>
    <t>18-21</t>
  </si>
  <si>
    <t>SCIB BE</t>
  </si>
  <si>
    <t>Demande d'offre faite par le SCIB BE auprès du Glacier Hotel mais fermé donc attente un retour de l'hôtel des Sources mais ils nous ont demandé de contacter le Victoria</t>
  </si>
  <si>
    <t>GC</t>
  </si>
  <si>
    <t>fermé</t>
  </si>
  <si>
    <t xml:space="preserve">le client attend directement un retour de leur part </t>
  </si>
  <si>
    <t>Nestlé Health Science</t>
  </si>
  <si>
    <t>melisa.dakaj@nestle.com</t>
  </si>
  <si>
    <t>Dakaj</t>
  </si>
  <si>
    <t>Melisa</t>
  </si>
  <si>
    <t>transmis la demande à VX le 28.01.25</t>
  </si>
  <si>
    <t>Sportlag</t>
  </si>
  <si>
    <t>flavie@spotlag.com</t>
  </si>
  <si>
    <t>Garnier</t>
  </si>
  <si>
    <t>Flavie</t>
  </si>
  <si>
    <t>04-06</t>
  </si>
  <si>
    <t>-</t>
  </si>
  <si>
    <t>Devrait loger à Lausanne</t>
  </si>
  <si>
    <t>Contact rencontré lors d'Eductour Partance 2024. Demande d'activité only, car logement à Lausanne. VX répond par la négative. VSS a envoyé une offre.</t>
  </si>
  <si>
    <t>Les 3 Vallées</t>
  </si>
  <si>
    <t>quentin.reinhart@les3vallees.com</t>
  </si>
  <si>
    <t>M</t>
  </si>
  <si>
    <t>Quentin</t>
  </si>
  <si>
    <t>Reinhart</t>
  </si>
  <si>
    <t>19-21</t>
  </si>
  <si>
    <t xml:space="preserve">Eu le client au téléphone le 10.02. Ils seraient interressés à rencontrer le département Promotion lors de leur venu. </t>
  </si>
  <si>
    <t>Genedis</t>
  </si>
  <si>
    <t>celine.gex@genedis.ch</t>
  </si>
  <si>
    <t>Gex</t>
  </si>
  <si>
    <t>Céline</t>
  </si>
  <si>
    <t>Journée récréative pour nos collaborateurs et leurs familles</t>
  </si>
  <si>
    <t>Movis</t>
  </si>
  <si>
    <t>Arbore</t>
  </si>
  <si>
    <t>Jolanda</t>
  </si>
  <si>
    <t>29-30</t>
  </si>
  <si>
    <t xml:space="preserve">Août </t>
  </si>
  <si>
    <t>jolanda.arbore@movis.ch</t>
  </si>
  <si>
    <t>Btafirst</t>
  </si>
  <si>
    <t>mice@btafirst.com</t>
  </si>
  <si>
    <t>DE</t>
  </si>
  <si>
    <t xml:space="preserve">Mme </t>
  </si>
  <si>
    <t>Ineichen</t>
  </si>
  <si>
    <t>Tiffany</t>
  </si>
  <si>
    <t xml:space="preserve">Janvier </t>
  </si>
  <si>
    <t>non</t>
  </si>
  <si>
    <t>LK</t>
  </si>
  <si>
    <t>AUTRE</t>
  </si>
  <si>
    <t xml:space="preserve">Février </t>
  </si>
  <si>
    <t>Philip Morris Products SA</t>
  </si>
  <si>
    <t>natalie.birtele@pmi.com</t>
  </si>
  <si>
    <t>Natalie</t>
  </si>
  <si>
    <t>Birtele</t>
  </si>
  <si>
    <t>4-5*</t>
  </si>
  <si>
    <t xml:space="preserve">Mars </t>
  </si>
  <si>
    <t xml:space="preserve">The Glacier Hotel - Complet 
Palace - Fermé </t>
  </si>
  <si>
    <t>EPFL</t>
  </si>
  <si>
    <t xml:space="preserve">Martone </t>
  </si>
  <si>
    <t xml:space="preserve">Sabrina </t>
  </si>
  <si>
    <t xml:space="preserve">Avril </t>
  </si>
  <si>
    <t>le 05.03.2025 à VX
GC</t>
  </si>
  <si>
    <t>le 05.03.2025 
GC</t>
  </si>
  <si>
    <t>le 05.03.2025 à VX - en attente du client
GC</t>
  </si>
  <si>
    <t>le 05.03.2025 à VX - demande déclinée
GC</t>
  </si>
  <si>
    <t>ARX c/o Pini Groupe SA</t>
  </si>
  <si>
    <t xml:space="preserve">jessica.favre@arx.ing   </t>
  </si>
  <si>
    <t>Favre</t>
  </si>
  <si>
    <t>Jessica</t>
  </si>
  <si>
    <t>?</t>
  </si>
  <si>
    <t xml:space="preserve">DIRECT </t>
  </si>
  <si>
    <t>A demandé qu'on lui envoie la carte des randonnées hivernales pour une rando "autour du lac de bretaye"</t>
  </si>
  <si>
    <t>le 07.03.2025 
GC</t>
  </si>
  <si>
    <t xml:space="preserve">La cliente est en contact avec Jesus voir dans le serveur </t>
  </si>
  <si>
    <t xml:space="preserve">Demande transmise par Sergei --&gt; c'est sa belle sœur 
11.03.2025 : ils hésitent entre Villars et Bâle, ils reveinnent vers nous au plus vite </t>
  </si>
  <si>
    <t>Flyability SA</t>
  </si>
  <si>
    <t>vanessa.demelo@flyability.com</t>
  </si>
  <si>
    <t>Vanessa</t>
  </si>
  <si>
    <t>De Melo</t>
  </si>
  <si>
    <t>12-15</t>
  </si>
  <si>
    <t>120-150</t>
  </si>
  <si>
    <t>3*-4*</t>
  </si>
  <si>
    <t>•	Chalet avec grande chambres/dortoirs avec petit-déjeuner pour 100 personnes
•	Hotel pouvant être réservé pour 100 personnes</t>
  </si>
  <si>
    <t>Finass - Travel is our Business</t>
  </si>
  <si>
    <t>Natalie.Buff@finass.ch</t>
  </si>
  <si>
    <t>Buff</t>
  </si>
  <si>
    <t>5-7</t>
  </si>
  <si>
    <t>On pris directement contact avec le VAR ainsi qu'avec VX</t>
  </si>
  <si>
    <t>Catalano</t>
  </si>
  <si>
    <t>Léna</t>
  </si>
  <si>
    <t>13-16
20-23
27-30</t>
  </si>
  <si>
    <t>privatisation de l'hôtel obligatoire</t>
  </si>
  <si>
    <t>Joubert Events</t>
  </si>
  <si>
    <t>chefdeprojet@joubert-events.com</t>
  </si>
  <si>
    <t>Privilégié les petits hôtels pour les privatiser. L'Ecureuil aura des travaux début 2026, ne pouvait donc pas se prononcer sur ce seminaire</t>
  </si>
  <si>
    <t xml:space="preserve">no rep </t>
  </si>
  <si>
    <t>sabrina.martone@epfl.ch</t>
  </si>
  <si>
    <t>le 26.03.2025
GC</t>
  </si>
  <si>
    <t>le 07.03.2025 
LK</t>
  </si>
  <si>
    <t>claire@athome-events.co.uk</t>
  </si>
  <si>
    <t>Ashby</t>
  </si>
  <si>
    <t>Claire</t>
  </si>
  <si>
    <t>16-20</t>
  </si>
  <si>
    <t>SCIB UK</t>
  </si>
  <si>
    <t>Luxury retreat centre, boutique hotel, wellness resort, or mountain lodge (high-end 4/5* standard). Single occupancy. Ideally with designated workspace in each room as women are business owners.</t>
  </si>
  <si>
    <t>déjà dans Brevo</t>
  </si>
  <si>
    <t>13.03 : VX leur a proposé une chasse au trésor dans le vignoble avec dégustation de vin 
L'agence organise elle-même une activité sur le Glacier 3000
27.03 : retour du VAR - La demande n'est pas encore confirmée. Nous sommes déjà en contact pour l'hébergement et je lui ai déjà envoyé des idées d'activités dans la region. Mais elle ne confirmera que si nous pouvons lui offrir des expériences UNIQUES pour cette groupe, avec un très bon budget. Nous sommes en compétition avec Genève,</t>
  </si>
  <si>
    <t>At Home Events</t>
  </si>
  <si>
    <t>Pas d'offre d'hébergements / pas de confirmation</t>
  </si>
  <si>
    <t>Pur'Events</t>
  </si>
  <si>
    <t>15-18</t>
  </si>
  <si>
    <t>pauline@purevents.fr</t>
  </si>
  <si>
    <t>Soler</t>
  </si>
  <si>
    <t>Pauline</t>
  </si>
  <si>
    <t xml:space="preserve">4* : privilégié Palace et Victoria </t>
  </si>
  <si>
    <t>American Express Global Business Travel</t>
  </si>
  <si>
    <t>nadia.biondi@amexgbt.com</t>
  </si>
  <si>
    <t>Biondi</t>
  </si>
  <si>
    <t>Nadia</t>
  </si>
  <si>
    <t>31-4</t>
  </si>
  <si>
    <t>Type boutique-hôtel, privilégier établissement avec piscine et/ou spa. 5* ne rentreront pas dans le budget.</t>
  </si>
  <si>
    <t>Prévoir un repérage de 2 nuits dans l’offre.
Budget : autour de 550€ pax/jour sans le transport.</t>
  </si>
  <si>
    <t>Direction générale du territoire et du logement</t>
  </si>
  <si>
    <t>stephane.oppliger@vd.ch</t>
  </si>
  <si>
    <t>Oppliger</t>
  </si>
  <si>
    <t xml:space="preserve">Stéphane </t>
  </si>
  <si>
    <t xml:space="preserve">Demande simplement une salle de séminaire. Pas de logements ni d'activités. </t>
  </si>
  <si>
    <t xml:space="preserve">Nb nuitées </t>
  </si>
  <si>
    <t>Nb pax</t>
  </si>
  <si>
    <t>Activité only confirmé</t>
  </si>
  <si>
    <t>Activité only décliné</t>
  </si>
  <si>
    <t>Activité only no rép</t>
  </si>
  <si>
    <t>Oui/activity only</t>
  </si>
  <si>
    <t>le 10.04.2025
GC</t>
  </si>
  <si>
    <t>le 15.04.2025
GC</t>
  </si>
  <si>
    <t>le 16.04.2025
GC</t>
  </si>
  <si>
    <t>SCIB FR</t>
  </si>
  <si>
    <t xml:space="preserve">VX leur a envoyé plusieurs lieu pour un lunch mais l'entreprise préfère réserver eu en direct avec le restaurant. </t>
  </si>
  <si>
    <t>Agence VMIS</t>
  </si>
  <si>
    <t>pmillion@vmis.fr</t>
  </si>
  <si>
    <t>Million</t>
  </si>
  <si>
    <t>10-12</t>
  </si>
  <si>
    <t>Il a été discuté d’un combo Victoria/Villars Palace. 
Pas connaissance du budget total, mais la chambre doit être à 200 par nuitée max.</t>
  </si>
  <si>
    <t xml:space="preserve">4/5* sur un seul établissement
Avec un espace de sémianire ainsi qu'il salle pour un bureau </t>
  </si>
  <si>
    <t>Patrice</t>
  </si>
  <si>
    <t xml:space="preserve">déjà dans Brevo </t>
  </si>
  <si>
    <t>camilleplanqueraillard@gmail.com</t>
  </si>
  <si>
    <t>Raillard</t>
  </si>
  <si>
    <t xml:space="preserve">Camille </t>
  </si>
  <si>
    <t>3-25</t>
  </si>
  <si>
    <t>Hôtel : 4* à 1h30 d’un aéroport max. Proche nature pour un départ fluide en voiture depuis l’hôtel. Pas d’hôtel belle époque ni aéroport, il s’agit d’un modèle de voiture familial donc valoriser des hôtels « comme à la maison » : pas + de 100 chambres en tout dans l’hôtel.</t>
  </si>
  <si>
    <t>Demande sur 23 nuitées avec : hébérgement, espaces de réunion, logistique automobile, restauration</t>
  </si>
  <si>
    <t>Moma Event - essai presse Citroën 2025</t>
  </si>
  <si>
    <t>INVENTEC PERFORMANCE CHEMICALS SA</t>
  </si>
  <si>
    <t>vquercia@inventec.dehon.com</t>
  </si>
  <si>
    <t>3-7</t>
  </si>
  <si>
    <t>50-60</t>
  </si>
  <si>
    <t>Infrastructure souhaitée dans la salle de réunion (nombre de places, mode de disposition des sièges comme style de séminaire ou style de théâtre) : 50 à 60 places en style classe avec système de visio conférence, micro
Nombre de jours ou dates concrète : Disons arrivée le 3 décembre après-midi, réunion (écran, projecteur, micros, système visio, déjeuner et pauses,...) les 4 et 5, profiter des montagnes et du ski le 6 et départ le 7.</t>
  </si>
  <si>
    <t xml:space="preserve">minimum 3 étoiles
Préférence en chambre single </t>
  </si>
  <si>
    <t>suite à un tel avec William, pas la dispo d'acceuillir ce groupe</t>
  </si>
  <si>
    <t>QTP Events</t>
  </si>
  <si>
    <t>charlotte@qtpevents.com</t>
  </si>
  <si>
    <t>Carrier</t>
  </si>
  <si>
    <t>Charlotte</t>
  </si>
  <si>
    <t>3-6</t>
  </si>
  <si>
    <t xml:space="preserve">Demande spécifique pour le Victoria </t>
  </si>
  <si>
    <t>M
Mme</t>
  </si>
  <si>
    <t>Victorio
Peggy</t>
  </si>
  <si>
    <t>Quercia
Bouchard-Mona</t>
  </si>
  <si>
    <t>ILO International Labour Organization</t>
  </si>
  <si>
    <t>maino@ilo.org</t>
  </si>
  <si>
    <t>Maino</t>
  </si>
  <si>
    <t>Barbara</t>
  </si>
  <si>
    <t>30.11 au 03.12</t>
  </si>
  <si>
    <t>35-40</t>
  </si>
  <si>
    <t>3-4*</t>
  </si>
  <si>
    <t>Personne rencontrée lors de l'Afterwork SBE à Genève du 15 avril 2025</t>
  </si>
  <si>
    <t>Cyrah Events</t>
  </si>
  <si>
    <t>Blazer Beltran</t>
  </si>
  <si>
    <t>Jocelyne</t>
  </si>
  <si>
    <t>100 étudiants et 14 profs
Les profs en chambres individuelles et les étudiants en chambres partagées</t>
  </si>
  <si>
    <t>Personne rencontrée lors de l'Afterwork SBE à Genève du 15 avril 2026</t>
  </si>
  <si>
    <t>13-20
14-21</t>
  </si>
  <si>
    <t>jocelyne.beltran@cyrah-events.com</t>
  </si>
  <si>
    <t>faire d'abord une relance à l'hôtel et tenir Mel au jus</t>
  </si>
  <si>
    <t xml:space="preserve">24.04.2025 : L’hôtel pourrait en effet tout à fait convenir pour ce lancement automobile.
La cliente fait le point et prendre contact le Victoria
30.04.2025 : Eu Sandra Hubert au téléphone, en attente d'un retour du client. L'équipe MICE a passé beaucoup de temps sur le dossier et au téléphone avec la cliente. </t>
  </si>
  <si>
    <t>VICTOR KYBURZ AG</t>
  </si>
  <si>
    <t>l.unterrassner@kyburz-sapphire.ch</t>
  </si>
  <si>
    <t>Lea</t>
  </si>
  <si>
    <t>Unterrassner-Kyburz</t>
  </si>
  <si>
    <t xml:space="preserve">Juillet </t>
  </si>
  <si>
    <t>3*</t>
  </si>
  <si>
    <t>10-11
11-12</t>
  </si>
  <si>
    <t>le 08.05.2025
GC</t>
  </si>
  <si>
    <t>le 14.05.2025
GC</t>
  </si>
  <si>
    <t>le 21.05.2025
GC</t>
  </si>
  <si>
    <t>Groupe S'cape
TotalEnergies Global Services (TGHRS)</t>
  </si>
  <si>
    <t>agathe.abitbol@groupe-scape.com</t>
  </si>
  <si>
    <t>Agathe</t>
  </si>
  <si>
    <t>Abitbol</t>
  </si>
  <si>
    <t xml:space="preserve">23-25 </t>
  </si>
  <si>
    <t xml:space="preserve">oui </t>
  </si>
  <si>
    <t xml:space="preserve">3* - 4* - 5* </t>
  </si>
  <si>
    <t>AO Havas Voyages M&amp;E</t>
  </si>
  <si>
    <t>mtourillon@havasvoyages-events.fr</t>
  </si>
  <si>
    <t>Tourillon</t>
  </si>
  <si>
    <t>Mélanie</t>
  </si>
  <si>
    <t xml:space="preserve">3 options différentes pour le séjour </t>
  </si>
  <si>
    <t>Aucun hôtel n'a de la dispo - réponse négative envoyée à la cliente</t>
  </si>
  <si>
    <t>le 16.06.2025
GC</t>
  </si>
  <si>
    <t>DCTN Ville de Genève</t>
  </si>
  <si>
    <t xml:space="preserve">Foletti </t>
  </si>
  <si>
    <t>Isabella</t>
  </si>
  <si>
    <t>1-2</t>
  </si>
  <si>
    <t>assistantes.dir.dctn@geneve.ch</t>
  </si>
  <si>
    <t xml:space="preserve">13.05 : le client nous a écrit pour l'hébérgement, il a été renvoyé vers l'hôtel. En attente d'un échange entre eux. 
28.05 : le Victoria a pris contact avec la cliente
24.06 : relance faites auprès du Victoria </t>
  </si>
  <si>
    <t>Activités VX</t>
  </si>
  <si>
    <t xml:space="preserve">Brevo </t>
  </si>
  <si>
    <t xml:space="preserve">Traité par </t>
  </si>
  <si>
    <t>RC</t>
  </si>
  <si>
    <t>LL</t>
  </si>
  <si>
    <t xml:space="preserve">Transmis par </t>
  </si>
  <si>
    <t>SCIB DE</t>
  </si>
  <si>
    <t>PROVENANCE DE LA CONFIRMATION</t>
  </si>
  <si>
    <t>SCIB NORDICS</t>
  </si>
  <si>
    <t>Période des dates de séjour (venue du séminaire)</t>
  </si>
  <si>
    <t>Période à laquelle nous avons envoyé l'offre</t>
  </si>
  <si>
    <t xml:space="preserve">DIRECT (OT, AV, formulaire) </t>
  </si>
  <si>
    <t>Mois d'envoie de l'offre et de venu</t>
  </si>
  <si>
    <t>Date de l'envoi de l'offre</t>
  </si>
  <si>
    <t>Dates séjour (venu du groupe)</t>
  </si>
  <si>
    <t>The Glacier Hotel</t>
  </si>
  <si>
    <t>Miroir d'Argentine &amp; Refuge</t>
  </si>
  <si>
    <t>24.06 : Romain l'a eu au téléphone pour la confirmation de cette offre. Le Victoria doit encore revenir vers la cliente avec le meilleur devis. 
08.07 : La cliente redemande un devis au Victoria pour avoir la gratuité des salles de séminaires
15.07 : reçu la confirmation de venue de la part de la cliente                                                                                      18.07 : La cliente n'a finalement pas besoin des 3 salles de séminaire et à redemandé un devis à l'Hôtel. Le Victoria a renvoyé une V5 du devis</t>
  </si>
  <si>
    <t>TSM Versoix / TSM Meyrin</t>
  </si>
  <si>
    <t>s.pidancet@tsm-versoix.ch</t>
  </si>
  <si>
    <t>Pidancet</t>
  </si>
  <si>
    <t>Simon</t>
  </si>
  <si>
    <t>24</t>
  </si>
  <si>
    <t>Agence creative Spirit</t>
  </si>
  <si>
    <t>Mary@creativespirit.eu</t>
  </si>
  <si>
    <t>Montiel</t>
  </si>
  <si>
    <t>Mary</t>
  </si>
  <si>
    <t>25</t>
  </si>
  <si>
    <t>Demande de privatisation pour Villars Palace et Hotel Victoria - Villars Lodge pour loger 40 staffs</t>
  </si>
  <si>
    <t>MCI/Ovation</t>
  </si>
  <si>
    <t>fiona.schaad@wearemci.com</t>
  </si>
  <si>
    <t>Schaad</t>
  </si>
  <si>
    <t>Fiona</t>
  </si>
  <si>
    <t xml:space="preserve">Pour l'instant seulement une demande pour des activités mais éventuellement de l'hébérgement. </t>
  </si>
  <si>
    <t>La Roche Posay</t>
  </si>
  <si>
    <t>syan.perrin@gmail.com</t>
  </si>
  <si>
    <t>Perrin</t>
  </si>
  <si>
    <t>Sylvie-Anne</t>
  </si>
  <si>
    <t xml:space="preserve">06.008 : la cliente avise SCIB FR que finalement elle ne souhiate plus d'hôtel mais plutôt des tentes glamping pouvant acceuillir 300 personnes </t>
  </si>
  <si>
    <t>11.08 : VX indique que pendant cette saison, tout les terrains seront utiliser pour les pistes de ski et encore enneigés. 
Mélanie a proposé les Whitepods sur recommandation de VX</t>
  </si>
  <si>
    <t>déjà dans Brevo mais indiqué comme signalé</t>
  </si>
  <si>
    <t xml:space="preserve">18.08 : reçu mail du VP pour avertir qu'ils ont annulés l'option car déjà un groupe à ces dates </t>
  </si>
  <si>
    <t xml:space="preserve">11.08 : demander à VX de nous laisser en cc dans les échanges avec la cliente afin qu'on puisse savoir si elle souhiate une offre d'hébégement ou si nous pourrions lui en proposer une. 
19.08 : l'agence n'a proposer que des sites concrets et non des destinations à son client </t>
  </si>
  <si>
    <t xml:space="preserve">KITES International Event Agency  </t>
  </si>
  <si>
    <t>richard@kites-events.agency</t>
  </si>
  <si>
    <t>Kemp</t>
  </si>
  <si>
    <t>Richard</t>
  </si>
  <si>
    <t>29</t>
  </si>
  <si>
    <t>Ils ont réservé l'hébergement directemen auprès du Villars Palace sans passer par nous</t>
  </si>
  <si>
    <t>Sur demande de Sergei, Mélanie a confirmé l'activité au client.
19.08 : le client prend contatc avec Guido pour l'organisation des activités à la suite du téléphone avec Sergei 
20.08 : Sandra Marro a envoyé une offre de transport au client</t>
  </si>
  <si>
    <t>06.08.25 : Villars Palace est dispo pour une privatisation partielle avec 90 chambres de dispo. Victoria peut avoir 120 chambres à dispo. 60 chambres sont dispo au Chalet Royalp et 46 chambres au Villars Lodge (logement des staffs). Étant donné que les exigences demandées par la cliente ne sont pas respectées au  niveau de la privatisation, je l'ai contactée pour lui expliqué la situation. Je lui ai envoyé un mail récapitalif de notre appel et attend réponse de sa part si interêt il y a ou non
20.08.2025 : la cliente a choisi une autre destination car aucun hôtel pouvait être privatisé à ces dates, cela a été transmis à Myriam de VP</t>
  </si>
  <si>
    <t>Agence Amirantes (Annecy)</t>
  </si>
  <si>
    <t xml:space="preserve">L'agence a déjà pris contact avec l'hôtel VIU sans passer par nous mais elle souhaiterait organiser une nuit insolite en refuge pour les 40 pers. Myriam de ST nous a écrit pour nous demander les lieux à dispo. J'ai répondu la MMB et ai mis VX et Guido en copie afin qu'ils puissent amener d'autres idées </t>
  </si>
  <si>
    <t>apagenel@amirantes.eu</t>
  </si>
  <si>
    <t>Pagenel</t>
  </si>
  <si>
    <t>Alizée</t>
  </si>
  <si>
    <t>8-11</t>
  </si>
  <si>
    <t>howard@lmcongress.ch</t>
  </si>
  <si>
    <t>Howard</t>
  </si>
  <si>
    <t>Gérald</t>
  </si>
  <si>
    <t>Était déjà venu l'année dernière pour leur séminaire et souhiate revenir pour encore 2 ans. Ils voudraient une activité différentes de ce qu'ils ont fait l'année dernière : Glacier 3000</t>
  </si>
  <si>
    <t>Inüi Collection</t>
  </si>
  <si>
    <t>estelle@inuicollection.com</t>
  </si>
  <si>
    <t>Bernière</t>
  </si>
  <si>
    <t>Estelle</t>
  </si>
  <si>
    <t>2</t>
  </si>
  <si>
    <t>Le groupe de personne va séjourner à Villars dès le 29 septembre et l'agence doit trouver une activité pour le 2 octobre dans l'après-midi à partir de 14h30</t>
  </si>
  <si>
    <t>ZZZest</t>
  </si>
  <si>
    <t>emiguet@zzzest.com</t>
  </si>
  <si>
    <t>Miguet</t>
  </si>
  <si>
    <t>Emilie</t>
  </si>
  <si>
    <t>Janvier
Février
Mars</t>
  </si>
  <si>
    <t>Possède déjà un hôtel ils veulent juste une proposition d'actiité pour le groupe sur les Diabelrets</t>
  </si>
  <si>
    <t>04.09 : Transmis à VX</t>
  </si>
  <si>
    <t>Senior Discovery Tours</t>
  </si>
  <si>
    <t>Lseprus@stc.ca</t>
  </si>
  <si>
    <t>Seprus</t>
  </si>
  <si>
    <t>Lise I.</t>
  </si>
  <si>
    <t>15
29</t>
  </si>
  <si>
    <t>aucune demande d'hôtel</t>
  </si>
  <si>
    <t>Aucune demande d'hôtel mais loge sur Villars et voulait une activité autour de la desgustation de vin. Son loger et ont leur propore véhicule pour se déplacer.</t>
  </si>
  <si>
    <t>CAN</t>
  </si>
  <si>
    <t>Cosmology in the Alps - EPFL / LM Congress</t>
  </si>
  <si>
    <t>Oui, le 15.09.2025</t>
  </si>
  <si>
    <t>05.08 : info reçu par l'accueil. Vu que c'est une demande d'activité, j'ai transmis en ce jour à Villars Experience  
07.08 : Le client décline car il a choisi une autre offre à Château D'Oex</t>
  </si>
  <si>
    <t>12.09 : VX pas dispo ni Guido qui est à l'étranger ni Allison qui est en congé. Directement pris contact avec l'Abbaye de Salaz qui a montrer de l'intérêt. Janine assure la suite du suivis avec la dame
15.09.2025 : Téléphone avec Janine de l'Abbaye --&gt; pas de réservation pour le 15.09 mais confirmer pour le 29.09</t>
  </si>
  <si>
    <t xml:space="preserve">26.08 : VX indique qu'il n'y a aucun lieu insolite pour accueillir le groupe de 40pax. Un retour a été fait à Myriam du SCIB FR.
26.08 : le client est interessé par The Glacier Hotel et une nuit à Solalex ou Bretaye
17.09 : SCIB reviens vers nous en disant que la cliente à mis le projet en sand-by. Myriam reviendra vers nous dés qu'il y a du nouveau </t>
  </si>
  <si>
    <t>Idescale</t>
  </si>
  <si>
    <t>carole.pourrain@idescale.fr</t>
  </si>
  <si>
    <t>Pourrain Leroy</t>
  </si>
  <si>
    <t>Carole</t>
  </si>
  <si>
    <t>15-19
22-26</t>
  </si>
  <si>
    <t>catégorie 3-4 étoiles. Le groupe à l'habitude d'être en Club Med donc privilégié le pension complète</t>
  </si>
  <si>
    <t>17.09 : Pris contact par téléphone avec le VIU, The Glacier Hotel, Les Sources mais aucun des 3 n'a de la disponibilité. Un email a été envoyé au Victoria car pas possible de donner par oral les dispos</t>
  </si>
  <si>
    <t xml:space="preserve">17.09 : transmis à VX et au Victoria </t>
  </si>
  <si>
    <t>Suivis de la demande (toute information nécessaire à avoir sur le processus - bien noter les dates)</t>
  </si>
  <si>
    <t>FCM Travel</t>
  </si>
  <si>
    <t>anouk.carryn@be.fcm.travel
events@be.fcm.travel</t>
  </si>
  <si>
    <t>Carryn</t>
  </si>
  <si>
    <t>Anouk</t>
  </si>
  <si>
    <t>50-100</t>
  </si>
  <si>
    <t>On demandé un hôtel au pied des pistes pouvant accueillir entre 50 et 100 personnes en 5*</t>
  </si>
  <si>
    <t xml:space="preserve">Directement pensé au Chalet RoyAlp. Je les ai appelé pour savoir s'ils acceptaient un séjour de 1 nuit et ils m'ont dit que c'était ok </t>
  </si>
  <si>
    <t>Ecoles du domaine dentaire</t>
  </si>
  <si>
    <t>Nathanaëlle</t>
  </si>
  <si>
    <t>Pache</t>
  </si>
  <si>
    <t>1 ou 2</t>
  </si>
  <si>
    <t>Pas de précision (pris contact avec tous les hôtels pouvant accueillir ce groupe)</t>
  </si>
  <si>
    <t>Hôtels contactés : The Glacier, Les Sources, VIU, Alpe Fleurie, VP, Lodge, Victoria, RoyAlp</t>
  </si>
  <si>
    <t>Strange</t>
  </si>
  <si>
    <t>Tasha</t>
  </si>
  <si>
    <t>24-27</t>
  </si>
  <si>
    <t>Seulement le contact du Villars palace lui a été transmis par le SCIB UK</t>
  </si>
  <si>
    <t>tasha@principalge.com</t>
  </si>
  <si>
    <t>Principalge</t>
  </si>
  <si>
    <t>que le Villars palace a été proposé car c'est le seul avec la capacité demandée</t>
  </si>
  <si>
    <t>OnsiteHub</t>
  </si>
  <si>
    <t>CZ</t>
  </si>
  <si>
    <t>kruno@onsitehub.eu</t>
  </si>
  <si>
    <t>Koprivnjak</t>
  </si>
  <si>
    <t>Krunoslav</t>
  </si>
  <si>
    <t>2-6</t>
  </si>
  <si>
    <t>3 ou 4</t>
  </si>
  <si>
    <t>Demande faite par VP pour une demande concernant le RoyAlp et le Villars Palace</t>
  </si>
  <si>
    <t>SLD Events</t>
  </si>
  <si>
    <t>mjude@sldevents.com</t>
  </si>
  <si>
    <t>Jude</t>
  </si>
  <si>
    <t>Marion</t>
  </si>
  <si>
    <t>26-29</t>
  </si>
  <si>
    <t>Diablerets : Romain a appelé les Sources et The Glacier. Ils n'ont pas de dispo.
Villars : en attente du retour du VIU et du Victoria</t>
  </si>
  <si>
    <t>RC/GC</t>
  </si>
  <si>
    <t>Oui, le 10.10 à VX</t>
  </si>
  <si>
    <t>Oui, le 10.10</t>
  </si>
  <si>
    <t>04.09 : envoie à la cliente différentes activités (pas directement envoyé chez VX) mais à proposer un certain choix
10.10 : la cliente a choisi une balade dans le Lavaux avec dégustation de vin</t>
  </si>
  <si>
    <t xml:space="preserve">10.10 : VIU et Victoria pas de dispo. J'ai informé le SCIB de cela et leur ai demandé si je devais répondre défavorabelment à la cliente. </t>
  </si>
  <si>
    <t>Agence Hopscotch</t>
  </si>
  <si>
    <t>splottier@hopscotch.one
mbernardy@hopscotch.one</t>
  </si>
  <si>
    <t>Plottier</t>
  </si>
  <si>
    <t>Sidonie</t>
  </si>
  <si>
    <t>21-23</t>
  </si>
  <si>
    <t>3* sup- 4*</t>
  </si>
  <si>
    <t>Le SCIB a demandé pas les Diablerets car la station ne bouge pas bcp</t>
  </si>
  <si>
    <t>10.10 : pris contact avec les hôteliers
13.10 : offre envoyée avec seulement le RoyAlp</t>
  </si>
  <si>
    <t>oui, en copie</t>
  </si>
  <si>
    <t xml:space="preserve">13.10 : Pris contact avec VIU et Victoria
13.10 : victoria pas de dispo, VIU oui mais à d'autres dates. J'ai demandé à ST si l'avance avait d'autres dates </t>
  </si>
  <si>
    <t>26.08.2025 : demande initiale reçu par Sergei puis transmis à MP
15.09 : retour reçu de Henry Savioz des mines. Il indique que à cause des travaux il ne pourront pas acceuillir le groupe mais ils gardent contact pour 2026
10.10.2025 : Mel en contact
16.10.2025 : Hébérgement confirmé au Glacier Hotel et il y aura des activités</t>
  </si>
  <si>
    <t>Oui, le 16.10.2025</t>
  </si>
  <si>
    <t>Ski Weekend</t>
  </si>
  <si>
    <t>doug@skiweekend.com</t>
  </si>
  <si>
    <t>Newmann</t>
  </si>
  <si>
    <t>Doug</t>
  </si>
  <si>
    <t>5-8</t>
  </si>
  <si>
    <t>midle : 3-4</t>
  </si>
  <si>
    <t xml:space="preserve">18.09 : pris contact avec la cliente et lui ai proposé un établissement ainsi que l'aérodrome de Bex afin qu'ils puissent arriver en avion privé
21.10.2025 : l'agence n'a pas reçu de nouvelle de la cliente. Elle reviendra vers nous si la demande se concrétise. </t>
  </si>
  <si>
    <t>MP a appelé le 29.04.25. C'est toujours en suspens. Ce sera probablement la semaine avant, mais pas besoin de faire une nouvelle offre. Ils nous redonneront des nouvelles courant mai.
21.10 : l'entreprise souhaite une nouvelle offre à d'autres dates 29-30 janvier 2026
23.10 : envoi de l'offre à la cliente avec le lodge et le VIU pouvant l'acceuillir au dates voulu et le Victoria avec des propos de dates (eu le directeur au téléphone)</t>
  </si>
  <si>
    <t>Oui, le 23.10.2025</t>
  </si>
  <si>
    <t>08.10 : La cliente a écrit à Danilo du VAR
10.10 : une offre a été envoyé à la cliente avec le LODGE, RoyAlp, Victoria, VIU car Romain avait contacté les différents hôteliers.
15.10 : la cliente souhaite avoir plus d'informations du Victoria également
23.10: waiting for Emna to come back to some more questions re Victoria hotel so that we can send it all off to the client for shortlisting</t>
  </si>
  <si>
    <t>Complex Bau AG</t>
  </si>
  <si>
    <t>j.martin@complexbau.ch</t>
  </si>
  <si>
    <t>Martin</t>
  </si>
  <si>
    <t>4-5</t>
  </si>
  <si>
    <t>Choix en focntion du nombre de chambres dispos et de la catégorie souhaitée et du programme ski</t>
  </si>
  <si>
    <t>Wedo</t>
  </si>
  <si>
    <t>gilles@wedo.com; vincent@wedo.com</t>
  </si>
  <si>
    <t>Gilles</t>
  </si>
  <si>
    <t>Pittet</t>
  </si>
  <si>
    <t>06</t>
  </si>
  <si>
    <t>Oui, le 07.11.25</t>
  </si>
  <si>
    <t>21.10 : contact rencontré par Mel durant le STM à Zermatt. Demande pour un groupe de loisir.
23.10.25: est intéressé. Demandes supplémentaires.
07.11.25: a choisi Engelberg</t>
  </si>
  <si>
    <t>IME pour Cap Gemini Suisse</t>
  </si>
  <si>
    <t>cleborgne@ime groupe.com</t>
  </si>
  <si>
    <t>Le Borgne</t>
  </si>
  <si>
    <t>Clémence</t>
  </si>
  <si>
    <t>16</t>
  </si>
  <si>
    <t>Transmis à Diablerets, car nous ne nous en occupons plus. Villars Palace pas de dispo. Uniquement envoyé l'offre pour le Royalp.</t>
  </si>
  <si>
    <t>Oui, le 14.11.25</t>
  </si>
  <si>
    <t>Oui</t>
  </si>
  <si>
    <t>Let's Go Fitness</t>
  </si>
  <si>
    <t>e.fischlin@letsgo-fit.ch</t>
  </si>
  <si>
    <t>Fischlin</t>
  </si>
  <si>
    <t>Esteban</t>
  </si>
  <si>
    <t>15</t>
  </si>
  <si>
    <t>Pas du 5 étoiles</t>
  </si>
  <si>
    <t>Kleyr_Grasso</t>
  </si>
  <si>
    <t>stephanie.guardini@kleyrgrasso.com</t>
  </si>
  <si>
    <t>GUARDINI</t>
  </si>
  <si>
    <t>Stephanie</t>
  </si>
  <si>
    <t>26.09 : pris contact avec les hôteliers par email et par téléphone pour certain. Transmis la demande à VX. 
24.11.25: Offre déclinée, car souhaitait plus de chambre doubles dans le Lodge</t>
  </si>
  <si>
    <t>25.11.25: envoyé infos supp concernant les restaurants</t>
  </si>
  <si>
    <t>Conventus pour FM</t>
  </si>
  <si>
    <t>nirmala.rilliet@conventus-swiss.com</t>
  </si>
  <si>
    <t>Nirmala</t>
  </si>
  <si>
    <t>Rilliet</t>
  </si>
  <si>
    <t>20</t>
  </si>
  <si>
    <t>Pas d'infos sur l'hébergement</t>
  </si>
  <si>
    <t>Nous ont contacté que pour les activités</t>
  </si>
  <si>
    <t>Scor</t>
  </si>
  <si>
    <t>mrioche@scor.com</t>
  </si>
  <si>
    <t>Rioche</t>
  </si>
  <si>
    <t>5*</t>
  </si>
  <si>
    <t>Veulent du 5*</t>
  </si>
  <si>
    <t>Oui, le 01.12.25</t>
  </si>
  <si>
    <t>IME pour Capgemini Suisse</t>
  </si>
  <si>
    <t>17</t>
  </si>
  <si>
    <t>4 ou 5*</t>
  </si>
  <si>
    <t xml:space="preserve">Transmis à Diablerets, car nous ne nous en occupons plus. Villars Palace pas de dispo. </t>
  </si>
  <si>
    <t>Oui, le 14.11.25 et le 05.12.25</t>
  </si>
  <si>
    <t>10</t>
  </si>
  <si>
    <t>Oui, le 01.12.25 et le 08.12.25 par téléphone.</t>
  </si>
  <si>
    <t>Notre outil de gestion des tâches. Mél les a rencontré lors de leur fête de 10 ans et leur a proposé de faire le sortie de boîte à Villars.
De retour le 01.12.25: nous reviendra à ce moment-là.
05.12.25: Vont regarder la semaine suivante.
10.12.25: N'ont pas été satisfait de la proposition de VX. je leur ai envoyé des infos par email.</t>
  </si>
  <si>
    <t>Hotels &amp; venues</t>
  </si>
  <si>
    <t>Crispin@hotelsandvenues.co.uk</t>
  </si>
  <si>
    <t>Scott</t>
  </si>
  <si>
    <t>Crispin</t>
  </si>
  <si>
    <t>26</t>
  </si>
  <si>
    <t>Demandés aux hôtels de répondre en direct au client, car formulaire précis à remplir.</t>
  </si>
  <si>
    <t>Oui, le 12.12.25</t>
  </si>
  <si>
    <t>Non</t>
  </si>
  <si>
    <t>transmis la demande à VX le 27.11.25</t>
  </si>
  <si>
    <t>12.12.25: demande de poser une option. Confirme lundi.</t>
  </si>
  <si>
    <t>Choix des hôtels en fonction de la capacité et proche du ski, sauf hôtel 5*. Pas les Diablerets, car plus chez nous.
16.12.26: le client a répondu trop tard. Plus de dispo à Villars.</t>
  </si>
  <si>
    <t>Recall Agency</t>
  </si>
  <si>
    <t>frederic@recallagency.com</t>
  </si>
  <si>
    <t>Frederic</t>
  </si>
  <si>
    <t>Mouton</t>
  </si>
  <si>
    <t>23</t>
  </si>
  <si>
    <t>Proche du ski. VIU plus dispo. Pas les Diablerets, car on ne s'en occupe plus.
Selon SCIB, ils ont finalement choisi Crans-Montana.</t>
  </si>
  <si>
    <t>Transmis à Diablerets, car nous ne nous en occupons plus. Royalp, VIU pas dispo. Palace réponse tardive, envoyé en complément par la suite. Le client est intéressé par The Glacier Hotel. Demandes d'infos complémentaires.
16.12.26: SCIB me dit que c'est casi confirmé au Glacier Hotel.
Selon rencontre avec Clémence, The Glacier Hotel pas dispo, mais confirmé au Villars Palace.</t>
  </si>
  <si>
    <t xml:space="preserve">Demandé à Villars Palace d'envoyer l'offre, ca rne concerne que du 5* et assez complexe.
02.12.25: la cliente demande un complément d'infos.
03.12.25: la cliente change de date.
26.12.25: le client se porte sur les dates de 207. Dès le 15 janvier l'agence va présenter les offres au client.
16.01.26: Réponse de la cliente : Pour des raisons budgétaires nous ne pourrons pas donner suite à cette fabuleuse offre. Je suis déçue de ne pouvoir collaborer avec vous sur ce projet, j’ai grandement apprécié votre disponibilité et réactivité. J’espère avoir la chance de vous interroger de nouveau sur d’autres projets. </t>
  </si>
  <si>
    <t>Vont parler au client a semaine du 12.01.26
27.01.26 : Selon TGH, toujours en discussion</t>
  </si>
  <si>
    <t>En vacances. SCIB a écrit directement au Glacier Hotel et au Villars Palace.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</si>
</sst>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13">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u/>
      <sz val="11"/>
      <color theme="10"/>
      <name val="Calibri"/>
      <family val="2"/>
      <scheme val="minor"/>
    </font>
    <font>
      <sz val="10"/>
      <color rgb="FF000000"/>
      <name val="Arial"/>
      <family val="2"/>
    </font>
    <font>
      <sz val="11"/>
      <color theme="1"/>
      <name val="IQOS"/>
    </font>
    <font>
      <sz val="12"/>
      <color theme="1"/>
      <name val="Aptos"/>
      <family val="2"/>
    </font>
    <font>
      <b/>
      <u/>
      <sz val="11"/>
      <color theme="1"/>
      <name val="Calibri"/>
      <family val="2"/>
      <scheme val="minor"/>
    </font>
    <font>
      <sz val="12"/>
      <color theme="1"/>
      <name val="Calibri"/>
      <family val="2"/>
      <scheme val="minor"/>
    </font>
    <font>
      <b/>
      <sz val="12"/>
      <color theme="1"/>
      <name val="Calibri"/>
      <family val="2"/>
      <scheme val="minor"/>
    </font>
    <font>
      <sz val="11"/>
      <name val="Calibri"/>
      <family val="2"/>
      <scheme val="minor"/>
    </font>
    <font>
      <u/>
      <sz val="11"/>
      <name val="Calibri"/>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9B9B"/>
        <bgColor indexed="64"/>
      </patternFill>
    </fill>
    <fill>
      <patternFill patternType="solid">
        <fgColor theme="4" tint="0.79998168889431442"/>
        <bgColor indexed="64"/>
      </patternFill>
    </fill>
    <fill>
      <patternFill patternType="solid">
        <fgColor rgb="FFFF9999"/>
        <bgColor indexed="64"/>
      </patternFill>
    </fill>
    <fill>
      <patternFill patternType="solid">
        <fgColor theme="2"/>
        <bgColor indexed="64"/>
      </patternFill>
    </fill>
    <fill>
      <patternFill patternType="lightUp"/>
    </fill>
    <fill>
      <patternFill patternType="solid">
        <fgColor theme="2"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s>
  <cellStyleXfs count="3">
    <xf numFmtId="0" fontId="0" fillId="0" borderId="0"/>
    <xf numFmtId="9" fontId="2" fillId="0" borderId="0" applyFont="0" applyFill="0" applyBorder="0" applyAlignment="0" applyProtection="0"/>
    <xf numFmtId="0" fontId="4" fillId="0" borderId="0" applyNumberFormat="0" applyFill="0" applyBorder="0" applyAlignment="0" applyProtection="0"/>
  </cellStyleXfs>
  <cellXfs count="204">
    <xf numFmtId="0" fontId="0" fillId="0" borderId="0" xfId="0"/>
    <xf numFmtId="0" fontId="1" fillId="0" borderId="0" xfId="0" applyFont="1"/>
    <xf numFmtId="0" fontId="0" fillId="0" borderId="1" xfId="0" applyBorder="1"/>
    <xf numFmtId="0" fontId="0" fillId="0" borderId="1" xfId="0" applyBorder="1" applyAlignment="1">
      <alignment horizontal="center"/>
    </xf>
    <xf numFmtId="9" fontId="0" fillId="0" borderId="1" xfId="1" applyFont="1" applyBorder="1"/>
    <xf numFmtId="0" fontId="0" fillId="4" borderId="0" xfId="0" applyFill="1"/>
    <xf numFmtId="0" fontId="0" fillId="3" borderId="0" xfId="0" applyFill="1"/>
    <xf numFmtId="9" fontId="0" fillId="4" borderId="0" xfId="1" applyFont="1" applyFill="1"/>
    <xf numFmtId="9" fontId="0" fillId="3" borderId="0" xfId="1" applyFont="1" applyFill="1"/>
    <xf numFmtId="0" fontId="0" fillId="0" borderId="0" xfId="0" applyAlignment="1">
      <alignment horizontal="center"/>
    </xf>
    <xf numFmtId="9" fontId="0" fillId="0" borderId="0" xfId="1" applyFont="1" applyBorder="1"/>
    <xf numFmtId="0" fontId="0" fillId="0" borderId="0" xfId="0" applyAlignment="1">
      <alignment horizontal="left" vertical="center" wrapText="1"/>
    </xf>
    <xf numFmtId="0" fontId="0" fillId="0" borderId="2" xfId="0" applyBorder="1"/>
    <xf numFmtId="0" fontId="0" fillId="0" borderId="9" xfId="0" applyBorder="1"/>
    <xf numFmtId="9" fontId="0" fillId="0" borderId="9" xfId="0" applyNumberFormat="1" applyBorder="1"/>
    <xf numFmtId="1" fontId="0" fillId="0" borderId="9" xfId="0" applyNumberFormat="1" applyBorder="1"/>
    <xf numFmtId="0" fontId="0" fillId="2" borderId="0" xfId="0" applyFill="1" applyAlignment="1">
      <alignment horizontal="left" vertical="center" wrapText="1"/>
    </xf>
    <xf numFmtId="0" fontId="0" fillId="0" borderId="0" xfId="0" applyAlignment="1">
      <alignment horizontal="left" vertical="center"/>
    </xf>
    <xf numFmtId="164" fontId="0" fillId="0" borderId="0" xfId="0" applyNumberFormat="1" applyAlignment="1">
      <alignment horizontal="left" vertical="center"/>
    </xf>
    <xf numFmtId="9" fontId="0" fillId="0" borderId="9" xfId="1" applyFont="1" applyBorder="1"/>
    <xf numFmtId="0" fontId="0" fillId="5" borderId="0" xfId="0" applyFill="1" applyAlignment="1">
      <alignment horizontal="left" vertical="center" wrapText="1"/>
    </xf>
    <xf numFmtId="9" fontId="0" fillId="0" borderId="0" xfId="1" applyFont="1"/>
    <xf numFmtId="0" fontId="6" fillId="2" borderId="0" xfId="0" applyFont="1" applyFill="1" applyAlignment="1">
      <alignment vertical="center"/>
    </xf>
    <xf numFmtId="0" fontId="0" fillId="2" borderId="1" xfId="0" quotePrefix="1" applyFill="1" applyBorder="1" applyAlignment="1">
      <alignment horizontal="left" vertical="center"/>
    </xf>
    <xf numFmtId="0" fontId="0" fillId="2" borderId="1" xfId="0" applyFill="1" applyBorder="1" applyAlignment="1">
      <alignment horizontal="left" vertical="center"/>
    </xf>
    <xf numFmtId="0" fontId="0" fillId="2" borderId="1" xfId="0" applyFill="1" applyBorder="1" applyAlignment="1">
      <alignment horizontal="left" vertical="center" wrapText="1"/>
    </xf>
    <xf numFmtId="0" fontId="5" fillId="2" borderId="0" xfId="0" applyFont="1" applyFill="1" applyAlignment="1">
      <alignment vertical="center"/>
    </xf>
    <xf numFmtId="0" fontId="0" fillId="2" borderId="1" xfId="0" applyFill="1" applyBorder="1" applyAlignment="1">
      <alignment vertical="center"/>
    </xf>
    <xf numFmtId="1" fontId="0" fillId="2" borderId="1" xfId="0" quotePrefix="1" applyNumberFormat="1" applyFill="1" applyBorder="1" applyAlignment="1">
      <alignment horizontal="left" vertical="center" wrapText="1"/>
    </xf>
    <xf numFmtId="17" fontId="0" fillId="2" borderId="1" xfId="0" applyNumberFormat="1" applyFill="1" applyBorder="1" applyAlignment="1">
      <alignment horizontal="left" vertical="center" wrapText="1"/>
    </xf>
    <xf numFmtId="164" fontId="0" fillId="5" borderId="1" xfId="0" applyNumberFormat="1" applyFill="1" applyBorder="1" applyAlignment="1">
      <alignment horizontal="left" vertical="center" wrapText="1"/>
    </xf>
    <xf numFmtId="0" fontId="0" fillId="5" borderId="1" xfId="0" quotePrefix="1" applyFill="1" applyBorder="1" applyAlignment="1">
      <alignment horizontal="left" vertical="center"/>
    </xf>
    <xf numFmtId="0" fontId="0" fillId="5" borderId="1" xfId="0" applyFill="1" applyBorder="1" applyAlignment="1">
      <alignment horizontal="left" vertical="center"/>
    </xf>
    <xf numFmtId="0" fontId="0" fillId="5" borderId="1" xfId="0" applyFill="1" applyBorder="1" applyAlignment="1">
      <alignment horizontal="left" vertical="center" wrapText="1"/>
    </xf>
    <xf numFmtId="0" fontId="0" fillId="5" borderId="1" xfId="0" applyFill="1" applyBorder="1" applyAlignment="1">
      <alignment vertical="center"/>
    </xf>
    <xf numFmtId="1" fontId="0" fillId="5" borderId="1" xfId="0" quotePrefix="1" applyNumberFormat="1" applyFill="1" applyBorder="1" applyAlignment="1">
      <alignment horizontal="left" vertical="center" wrapText="1"/>
    </xf>
    <xf numFmtId="17" fontId="0" fillId="5" borderId="1" xfId="0" applyNumberFormat="1" applyFill="1" applyBorder="1" applyAlignment="1">
      <alignment horizontal="left" vertical="center" wrapText="1"/>
    </xf>
    <xf numFmtId="164" fontId="0" fillId="2" borderId="1" xfId="0" applyNumberFormat="1" applyFill="1" applyBorder="1" applyAlignment="1">
      <alignment horizontal="left" vertical="center" wrapText="1"/>
    </xf>
    <xf numFmtId="164" fontId="0" fillId="7" borderId="1" xfId="0" applyNumberFormat="1" applyFill="1" applyBorder="1" applyAlignment="1">
      <alignment horizontal="left" vertical="center" wrapText="1"/>
    </xf>
    <xf numFmtId="0" fontId="0" fillId="7" borderId="1" xfId="0" quotePrefix="1" applyFill="1" applyBorder="1" applyAlignment="1">
      <alignment horizontal="left" vertical="center"/>
    </xf>
    <xf numFmtId="0" fontId="0" fillId="7" borderId="1" xfId="0" applyFill="1" applyBorder="1" applyAlignment="1">
      <alignment horizontal="left" vertical="center"/>
    </xf>
    <xf numFmtId="0" fontId="0" fillId="7" borderId="1" xfId="0" applyFill="1" applyBorder="1" applyAlignment="1">
      <alignment horizontal="left" vertical="center" wrapText="1"/>
    </xf>
    <xf numFmtId="0" fontId="0" fillId="7" borderId="1" xfId="0" applyFill="1" applyBorder="1" applyAlignment="1">
      <alignment vertical="center"/>
    </xf>
    <xf numFmtId="1" fontId="0" fillId="7" borderId="1" xfId="0" quotePrefix="1" applyNumberFormat="1" applyFill="1" applyBorder="1" applyAlignment="1">
      <alignment horizontal="left" vertical="center" wrapText="1"/>
    </xf>
    <xf numFmtId="17" fontId="0" fillId="7" borderId="1" xfId="0" applyNumberFormat="1" applyFill="1" applyBorder="1" applyAlignment="1">
      <alignment horizontal="left" vertical="center" wrapText="1"/>
    </xf>
    <xf numFmtId="0" fontId="0" fillId="7" borderId="0" xfId="0" applyFill="1" applyAlignment="1">
      <alignment horizontal="left" vertical="center" wrapText="1"/>
    </xf>
    <xf numFmtId="164" fontId="0" fillId="6" borderId="1" xfId="0" applyNumberFormat="1" applyFill="1" applyBorder="1" applyAlignment="1">
      <alignment horizontal="left" vertical="center" wrapText="1"/>
    </xf>
    <xf numFmtId="0" fontId="0" fillId="6" borderId="1" xfId="0" quotePrefix="1" applyFill="1" applyBorder="1" applyAlignment="1">
      <alignment horizontal="left" vertical="center"/>
    </xf>
    <xf numFmtId="0" fontId="0" fillId="6" borderId="1" xfId="0" applyFill="1" applyBorder="1" applyAlignment="1">
      <alignment horizontal="left" vertical="center"/>
    </xf>
    <xf numFmtId="0" fontId="0" fillId="6" borderId="1" xfId="0" applyFill="1" applyBorder="1" applyAlignment="1">
      <alignment horizontal="left" vertical="center" wrapText="1"/>
    </xf>
    <xf numFmtId="0" fontId="0" fillId="6" borderId="1" xfId="0" applyFill="1" applyBorder="1" applyAlignment="1">
      <alignment vertical="center"/>
    </xf>
    <xf numFmtId="1" fontId="0" fillId="6" borderId="1" xfId="0" quotePrefix="1" applyNumberFormat="1" applyFill="1" applyBorder="1" applyAlignment="1">
      <alignment horizontal="left" vertical="center" wrapText="1"/>
    </xf>
    <xf numFmtId="17" fontId="0" fillId="6" borderId="1" xfId="0" applyNumberFormat="1" applyFill="1" applyBorder="1" applyAlignment="1">
      <alignment horizontal="left" vertical="center" wrapText="1"/>
    </xf>
    <xf numFmtId="49" fontId="0" fillId="7" borderId="1" xfId="0" quotePrefix="1" applyNumberFormat="1" applyFill="1" applyBorder="1" applyAlignment="1">
      <alignment horizontal="left" vertical="center" wrapText="1"/>
    </xf>
    <xf numFmtId="164" fontId="0" fillId="8" borderId="1" xfId="0" applyNumberFormat="1" applyFill="1" applyBorder="1" applyAlignment="1">
      <alignment horizontal="left" vertical="center" wrapText="1"/>
    </xf>
    <xf numFmtId="0" fontId="0" fillId="8" borderId="1" xfId="0" quotePrefix="1" applyFill="1" applyBorder="1" applyAlignment="1">
      <alignment horizontal="left" vertical="center"/>
    </xf>
    <xf numFmtId="0" fontId="0" fillId="8" borderId="1" xfId="0" applyFill="1" applyBorder="1" applyAlignment="1">
      <alignment horizontal="left" vertical="center"/>
    </xf>
    <xf numFmtId="0" fontId="0" fillId="8" borderId="1" xfId="0" applyFill="1" applyBorder="1" applyAlignment="1">
      <alignment horizontal="left" vertical="center" wrapText="1"/>
    </xf>
    <xf numFmtId="0" fontId="0" fillId="8" borderId="1" xfId="0" applyFill="1" applyBorder="1" applyAlignment="1">
      <alignment vertical="center"/>
    </xf>
    <xf numFmtId="49" fontId="0" fillId="8" borderId="1" xfId="0" quotePrefix="1" applyNumberFormat="1" applyFill="1" applyBorder="1" applyAlignment="1">
      <alignment horizontal="left" vertical="center" wrapText="1"/>
    </xf>
    <xf numFmtId="17" fontId="0" fillId="8" borderId="1" xfId="0" applyNumberFormat="1" applyFill="1" applyBorder="1" applyAlignment="1">
      <alignment horizontal="left" vertical="center" wrapText="1"/>
    </xf>
    <xf numFmtId="0" fontId="0" fillId="4" borderId="9" xfId="0" applyFill="1" applyBorder="1"/>
    <xf numFmtId="0" fontId="0" fillId="4" borderId="8" xfId="0" applyFill="1" applyBorder="1"/>
    <xf numFmtId="0" fontId="0" fillId="3" borderId="8" xfId="0" applyFill="1" applyBorder="1"/>
    <xf numFmtId="0" fontId="1" fillId="0" borderId="2" xfId="0" applyFont="1" applyBorder="1"/>
    <xf numFmtId="9" fontId="0" fillId="0" borderId="4" xfId="0" applyNumberFormat="1" applyBorder="1"/>
    <xf numFmtId="9" fontId="0" fillId="0" borderId="13" xfId="0" applyNumberFormat="1" applyBorder="1"/>
    <xf numFmtId="0" fontId="0" fillId="4" borderId="7" xfId="0" applyFill="1" applyBorder="1"/>
    <xf numFmtId="0" fontId="1" fillId="0" borderId="9" xfId="0" applyFont="1" applyBorder="1"/>
    <xf numFmtId="0" fontId="1" fillId="0" borderId="4" xfId="0" applyFont="1" applyBorder="1"/>
    <xf numFmtId="0" fontId="0" fillId="4" borderId="1" xfId="0" applyFill="1" applyBorder="1"/>
    <xf numFmtId="9" fontId="0" fillId="0" borderId="0" xfId="0" applyNumberFormat="1"/>
    <xf numFmtId="0" fontId="1" fillId="0" borderId="4" xfId="0" applyFont="1" applyBorder="1" applyAlignment="1">
      <alignment horizontal="center"/>
    </xf>
    <xf numFmtId="9" fontId="1" fillId="0" borderId="4" xfId="0" applyNumberFormat="1" applyFont="1" applyBorder="1"/>
    <xf numFmtId="0" fontId="1" fillId="0" borderId="9" xfId="0" applyFont="1" applyBorder="1" applyAlignment="1">
      <alignment horizontal="center"/>
    </xf>
    <xf numFmtId="9" fontId="1" fillId="0" borderId="9" xfId="0" applyNumberFormat="1" applyFont="1" applyBorder="1"/>
    <xf numFmtId="0" fontId="0" fillId="0" borderId="14" xfId="0" applyBorder="1" applyAlignment="1">
      <alignment horizontal="center"/>
    </xf>
    <xf numFmtId="0" fontId="0" fillId="0" borderId="11" xfId="0" applyBorder="1" applyAlignment="1">
      <alignment horizontal="center"/>
    </xf>
    <xf numFmtId="0" fontId="0" fillId="0" borderId="14" xfId="0" applyBorder="1"/>
    <xf numFmtId="0" fontId="0" fillId="0" borderId="11" xfId="0" applyBorder="1"/>
    <xf numFmtId="1" fontId="0" fillId="8" borderId="1" xfId="0" quotePrefix="1" applyNumberFormat="1" applyFill="1" applyBorder="1" applyAlignment="1">
      <alignment horizontal="left" vertical="center" wrapText="1"/>
    </xf>
    <xf numFmtId="164" fontId="0" fillId="0" borderId="1" xfId="0" applyNumberFormat="1" applyBorder="1" applyAlignment="1">
      <alignment horizontal="left" vertical="center" wrapText="1"/>
    </xf>
    <xf numFmtId="0" fontId="0" fillId="0" borderId="1" xfId="0" quotePrefix="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vertical="center"/>
    </xf>
    <xf numFmtId="17" fontId="0" fillId="0" borderId="1" xfId="0" applyNumberFormat="1" applyBorder="1" applyAlignment="1">
      <alignment horizontal="left" vertical="center" wrapText="1"/>
    </xf>
    <xf numFmtId="49" fontId="0" fillId="0" borderId="1" xfId="0" quotePrefix="1" applyNumberFormat="1" applyBorder="1" applyAlignment="1">
      <alignment horizontal="left" vertical="center" wrapText="1"/>
    </xf>
    <xf numFmtId="49" fontId="0" fillId="6" borderId="1" xfId="0" quotePrefix="1" applyNumberFormat="1" applyFill="1" applyBorder="1" applyAlignment="1">
      <alignment horizontal="left" vertical="center" wrapText="1"/>
    </xf>
    <xf numFmtId="0" fontId="7" fillId="8" borderId="1" xfId="0" applyFont="1" applyFill="1" applyBorder="1" applyAlignment="1">
      <alignment vertical="center"/>
    </xf>
    <xf numFmtId="0" fontId="0" fillId="8" borderId="1" xfId="0" applyFill="1" applyBorder="1" applyAlignment="1">
      <alignment vertical="center" wrapText="1"/>
    </xf>
    <xf numFmtId="0" fontId="7" fillId="6" borderId="1" xfId="0" applyFont="1" applyFill="1" applyBorder="1" applyAlignment="1">
      <alignment vertical="center" wrapText="1"/>
    </xf>
    <xf numFmtId="0" fontId="7" fillId="7" borderId="0" xfId="0" applyFont="1" applyFill="1" applyAlignment="1">
      <alignment vertical="center" wrapText="1"/>
    </xf>
    <xf numFmtId="0" fontId="0" fillId="7" borderId="4" xfId="0" quotePrefix="1" applyFill="1" applyBorder="1" applyAlignment="1">
      <alignment horizontal="left" vertical="center"/>
    </xf>
    <xf numFmtId="0" fontId="0" fillId="7" borderId="4" xfId="0" applyFill="1" applyBorder="1" applyAlignment="1">
      <alignment horizontal="left" vertical="center"/>
    </xf>
    <xf numFmtId="0" fontId="0" fillId="7" borderId="4" xfId="0" applyFill="1" applyBorder="1" applyAlignment="1">
      <alignment horizontal="left" vertical="center" wrapText="1"/>
    </xf>
    <xf numFmtId="49" fontId="0" fillId="7" borderId="4" xfId="0" quotePrefix="1" applyNumberFormat="1" applyFill="1" applyBorder="1" applyAlignment="1">
      <alignment horizontal="left" vertical="center" wrapText="1"/>
    </xf>
    <xf numFmtId="17" fontId="0" fillId="7" borderId="4" xfId="0" applyNumberFormat="1" applyFill="1" applyBorder="1" applyAlignment="1">
      <alignment horizontal="left" vertical="center" wrapText="1"/>
    </xf>
    <xf numFmtId="0" fontId="0" fillId="5" borderId="1" xfId="0" applyFill="1" applyBorder="1" applyAlignment="1">
      <alignment vertical="center" wrapText="1"/>
    </xf>
    <xf numFmtId="49" fontId="0" fillId="5" borderId="1" xfId="0" quotePrefix="1" applyNumberFormat="1" applyFill="1" applyBorder="1" applyAlignment="1">
      <alignment horizontal="left" vertical="center" wrapText="1"/>
    </xf>
    <xf numFmtId="0" fontId="7" fillId="7" borderId="1" xfId="0" applyFont="1" applyFill="1" applyBorder="1" applyAlignment="1">
      <alignment vertical="center"/>
    </xf>
    <xf numFmtId="0" fontId="0" fillId="7" borderId="1" xfId="0" applyFill="1" applyBorder="1" applyAlignment="1">
      <alignment vertical="center" wrapText="1"/>
    </xf>
    <xf numFmtId="9" fontId="0" fillId="3" borderId="4" xfId="0" applyNumberFormat="1" applyFill="1" applyBorder="1"/>
    <xf numFmtId="9" fontId="0" fillId="3" borderId="13" xfId="0" applyNumberFormat="1" applyFill="1" applyBorder="1"/>
    <xf numFmtId="0" fontId="7" fillId="5" borderId="0" xfId="0" applyFont="1" applyFill="1" applyAlignment="1">
      <alignment vertical="center" wrapText="1"/>
    </xf>
    <xf numFmtId="0" fontId="0" fillId="5" borderId="5" xfId="0" quotePrefix="1" applyFill="1" applyBorder="1" applyAlignment="1">
      <alignment horizontal="left" vertical="center"/>
    </xf>
    <xf numFmtId="0" fontId="0" fillId="5" borderId="5" xfId="0" applyFill="1" applyBorder="1" applyAlignment="1">
      <alignment horizontal="left" vertical="center"/>
    </xf>
    <xf numFmtId="0" fontId="0" fillId="5" borderId="5" xfId="0" applyFill="1" applyBorder="1" applyAlignment="1">
      <alignment horizontal="left" vertical="center" wrapText="1"/>
    </xf>
    <xf numFmtId="0" fontId="0" fillId="5" borderId="4" xfId="0" applyFill="1" applyBorder="1" applyAlignment="1">
      <alignment horizontal="left" vertical="center"/>
    </xf>
    <xf numFmtId="49" fontId="0" fillId="5" borderId="5" xfId="0" quotePrefix="1" applyNumberFormat="1" applyFill="1" applyBorder="1" applyAlignment="1">
      <alignment horizontal="left" vertical="center" wrapText="1"/>
    </xf>
    <xf numFmtId="17" fontId="0" fillId="5" borderId="5" xfId="0" applyNumberFormat="1" applyFill="1" applyBorder="1" applyAlignment="1">
      <alignment horizontal="left" vertical="center" wrapText="1"/>
    </xf>
    <xf numFmtId="0" fontId="1" fillId="0" borderId="0" xfId="0" applyFont="1" applyAlignment="1">
      <alignment horizontal="center"/>
    </xf>
    <xf numFmtId="9" fontId="1" fillId="0" borderId="0" xfId="0" applyNumberFormat="1" applyFont="1"/>
    <xf numFmtId="0" fontId="0" fillId="9" borderId="0" xfId="0" applyFill="1" applyAlignment="1">
      <alignment horizontal="center" vertical="center"/>
    </xf>
    <xf numFmtId="0" fontId="0" fillId="3" borderId="12" xfId="0" applyFill="1" applyBorder="1"/>
    <xf numFmtId="0" fontId="0" fillId="3" borderId="14" xfId="0" applyFill="1" applyBorder="1"/>
    <xf numFmtId="0" fontId="0" fillId="7" borderId="8" xfId="0" applyFill="1" applyBorder="1"/>
    <xf numFmtId="0" fontId="8" fillId="0" borderId="0" xfId="0" applyFont="1"/>
    <xf numFmtId="0" fontId="0" fillId="10" borderId="0" xfId="0" applyFill="1"/>
    <xf numFmtId="0" fontId="0" fillId="7" borderId="7" xfId="0" applyFill="1" applyBorder="1"/>
    <xf numFmtId="0" fontId="0" fillId="9" borderId="0" xfId="0" applyFill="1" applyAlignment="1">
      <alignment horizontal="center" vertical="center" wrapText="1"/>
    </xf>
    <xf numFmtId="164" fontId="0" fillId="7" borderId="5" xfId="0" applyNumberFormat="1" applyFill="1" applyBorder="1" applyAlignment="1">
      <alignment horizontal="left" vertical="center" wrapText="1"/>
    </xf>
    <xf numFmtId="0" fontId="0" fillId="7" borderId="5" xfId="0" quotePrefix="1" applyFill="1" applyBorder="1" applyAlignment="1">
      <alignment horizontal="left" vertical="center"/>
    </xf>
    <xf numFmtId="0" fontId="0" fillId="7" borderId="5" xfId="0" applyFill="1" applyBorder="1" applyAlignment="1">
      <alignment horizontal="left" vertical="center"/>
    </xf>
    <xf numFmtId="0" fontId="0" fillId="7" borderId="5" xfId="0" applyFill="1" applyBorder="1" applyAlignment="1">
      <alignment horizontal="left" vertical="center" wrapText="1"/>
    </xf>
    <xf numFmtId="0" fontId="0" fillId="7" borderId="5" xfId="0" applyFill="1" applyBorder="1" applyAlignment="1">
      <alignment vertical="center"/>
    </xf>
    <xf numFmtId="1" fontId="0" fillId="7" borderId="5" xfId="0" quotePrefix="1" applyNumberFormat="1" applyFill="1" applyBorder="1" applyAlignment="1">
      <alignment horizontal="left" vertical="center" wrapText="1"/>
    </xf>
    <xf numFmtId="17" fontId="0" fillId="7" borderId="5" xfId="0" applyNumberFormat="1" applyFill="1" applyBorder="1" applyAlignment="1">
      <alignment horizontal="left" vertical="center" wrapText="1"/>
    </xf>
    <xf numFmtId="0" fontId="9" fillId="11" borderId="15" xfId="0" applyFont="1" applyFill="1" applyBorder="1" applyAlignment="1">
      <alignment horizontal="center" vertical="center" wrapText="1"/>
    </xf>
    <xf numFmtId="0" fontId="9" fillId="0" borderId="0" xfId="0" applyFont="1" applyAlignment="1">
      <alignment horizontal="left" vertical="center" wrapText="1"/>
    </xf>
    <xf numFmtId="0" fontId="9" fillId="11" borderId="0" xfId="0" applyFont="1" applyFill="1" applyAlignment="1">
      <alignment horizontal="left" vertical="center" wrapText="1"/>
    </xf>
    <xf numFmtId="164" fontId="9" fillId="11" borderId="15" xfId="0" applyNumberFormat="1" applyFont="1" applyFill="1" applyBorder="1" applyAlignment="1">
      <alignment horizontal="center" vertical="center" wrapText="1"/>
    </xf>
    <xf numFmtId="0" fontId="9" fillId="0" borderId="0" xfId="0" applyFont="1" applyAlignment="1">
      <alignment horizontal="center" vertical="center" wrapText="1"/>
    </xf>
    <xf numFmtId="0" fontId="9" fillId="11" borderId="0" xfId="0" applyFont="1" applyFill="1" applyAlignment="1">
      <alignment horizontal="center" vertical="center" wrapText="1"/>
    </xf>
    <xf numFmtId="0" fontId="4" fillId="7" borderId="5" xfId="2" applyFill="1" applyBorder="1" applyAlignment="1">
      <alignment vertical="center"/>
    </xf>
    <xf numFmtId="0" fontId="4" fillId="7" borderId="1" xfId="2" applyFill="1" applyBorder="1" applyAlignment="1">
      <alignment vertical="center"/>
    </xf>
    <xf numFmtId="0" fontId="4" fillId="5" borderId="1" xfId="2" applyFill="1" applyBorder="1" applyAlignment="1">
      <alignment vertical="center"/>
    </xf>
    <xf numFmtId="0" fontId="4" fillId="2" borderId="1" xfId="2" applyFill="1" applyBorder="1" applyAlignment="1">
      <alignment vertical="center"/>
    </xf>
    <xf numFmtId="0" fontId="4" fillId="7" borderId="0" xfId="2" applyFill="1" applyAlignment="1">
      <alignment vertical="center"/>
    </xf>
    <xf numFmtId="0" fontId="4" fillId="6" borderId="1" xfId="2" applyFill="1" applyBorder="1" applyAlignment="1">
      <alignment vertical="center"/>
    </xf>
    <xf numFmtId="0" fontId="4" fillId="5" borderId="0" xfId="2" applyFill="1" applyAlignment="1">
      <alignment vertical="center"/>
    </xf>
    <xf numFmtId="0" fontId="4" fillId="8" borderId="0" xfId="2" applyFill="1" applyAlignment="1">
      <alignment vertical="center"/>
    </xf>
    <xf numFmtId="0" fontId="4" fillId="8" borderId="1" xfId="2" applyFill="1" applyBorder="1" applyAlignment="1">
      <alignment vertical="center"/>
    </xf>
    <xf numFmtId="0" fontId="4" fillId="0" borderId="1" xfId="2" applyFill="1" applyBorder="1" applyAlignment="1">
      <alignment vertical="center"/>
    </xf>
    <xf numFmtId="0" fontId="0" fillId="7" borderId="0" xfId="0" applyFill="1" applyAlignment="1">
      <alignment horizontal="left" vertical="center"/>
    </xf>
    <xf numFmtId="0" fontId="0" fillId="7" borderId="1" xfId="0" applyFill="1" applyBorder="1" applyAlignment="1">
      <alignment horizontal="left" vertical="top" wrapText="1"/>
    </xf>
    <xf numFmtId="0" fontId="0" fillId="7" borderId="4" xfId="0" applyFill="1" applyBorder="1" applyAlignment="1">
      <alignment horizontal="left" vertical="top" wrapText="1"/>
    </xf>
    <xf numFmtId="0" fontId="4" fillId="8" borderId="0" xfId="2" applyFill="1"/>
    <xf numFmtId="0" fontId="0" fillId="3" borderId="0" xfId="0" applyFill="1" applyAlignment="1">
      <alignment horizontal="left" vertical="center"/>
    </xf>
    <xf numFmtId="0" fontId="4" fillId="6" borderId="0" xfId="2" applyFill="1" applyAlignment="1">
      <alignment horizontal="left" vertical="center"/>
    </xf>
    <xf numFmtId="0" fontId="4" fillId="0" borderId="1" xfId="2" applyBorder="1"/>
    <xf numFmtId="0" fontId="4" fillId="5" borderId="0" xfId="2" applyFill="1"/>
    <xf numFmtId="164" fontId="11" fillId="6" borderId="1" xfId="0" applyNumberFormat="1" applyFont="1" applyFill="1" applyBorder="1" applyAlignment="1">
      <alignment horizontal="left" vertical="center" wrapText="1"/>
    </xf>
    <xf numFmtId="0" fontId="11" fillId="6" borderId="1" xfId="0" quotePrefix="1" applyFont="1" applyFill="1" applyBorder="1" applyAlignment="1">
      <alignment horizontal="left" vertical="center"/>
    </xf>
    <xf numFmtId="0" fontId="11" fillId="6" borderId="1" xfId="0" applyFont="1" applyFill="1" applyBorder="1" applyAlignment="1">
      <alignment horizontal="left" vertical="center"/>
    </xf>
    <xf numFmtId="0" fontId="11" fillId="6" borderId="1" xfId="0" applyFont="1" applyFill="1" applyBorder="1" applyAlignment="1">
      <alignment horizontal="left" vertical="center" wrapText="1"/>
    </xf>
    <xf numFmtId="0" fontId="12" fillId="6" borderId="0" xfId="2" applyFont="1" applyFill="1" applyBorder="1" applyAlignment="1">
      <alignment vertical="center"/>
    </xf>
    <xf numFmtId="0" fontId="11" fillId="6" borderId="1" xfId="0" applyFont="1" applyFill="1" applyBorder="1" applyAlignment="1">
      <alignment vertical="center"/>
    </xf>
    <xf numFmtId="49" fontId="11" fillId="6" borderId="1" xfId="0" quotePrefix="1" applyNumberFormat="1" applyFont="1" applyFill="1" applyBorder="1" applyAlignment="1">
      <alignment horizontal="left" vertical="center" wrapText="1"/>
    </xf>
    <xf numFmtId="17" fontId="11" fillId="6" borderId="1" xfId="0" applyNumberFormat="1" applyFont="1" applyFill="1" applyBorder="1" applyAlignment="1">
      <alignment horizontal="left" vertical="center" wrapText="1"/>
    </xf>
    <xf numFmtId="16" fontId="11" fillId="6" borderId="1" xfId="0" applyNumberFormat="1" applyFont="1" applyFill="1" applyBorder="1" applyAlignment="1">
      <alignment horizontal="left" vertical="center"/>
    </xf>
    <xf numFmtId="0" fontId="4" fillId="7" borderId="1" xfId="2" applyFill="1" applyBorder="1" applyAlignment="1">
      <alignment vertical="center" wrapText="1"/>
    </xf>
    <xf numFmtId="0" fontId="4" fillId="7" borderId="1" xfId="2" applyFill="1" applyBorder="1"/>
    <xf numFmtId="16" fontId="0" fillId="8" borderId="1" xfId="0" applyNumberFormat="1" applyFill="1" applyBorder="1" applyAlignment="1">
      <alignment horizontal="left" vertical="center"/>
    </xf>
    <xf numFmtId="0" fontId="4" fillId="6" borderId="1" xfId="2" applyFill="1" applyBorder="1" applyAlignment="1">
      <alignment wrapText="1"/>
    </xf>
    <xf numFmtId="164" fontId="0" fillId="7" borderId="4" xfId="0" applyNumberFormat="1" applyFill="1" applyBorder="1" applyAlignment="1">
      <alignment horizontal="left" vertical="center" wrapText="1"/>
    </xf>
    <xf numFmtId="0" fontId="4" fillId="7" borderId="0" xfId="2" applyFill="1"/>
    <xf numFmtId="0" fontId="0" fillId="7" borderId="4" xfId="0" applyFill="1" applyBorder="1" applyAlignment="1">
      <alignment vertical="center"/>
    </xf>
    <xf numFmtId="0" fontId="4" fillId="8" borderId="1" xfId="2" applyFill="1" applyBorder="1"/>
    <xf numFmtId="0" fontId="0" fillId="8" borderId="0" xfId="0" applyFill="1" applyAlignment="1">
      <alignment horizontal="left" vertical="center"/>
    </xf>
    <xf numFmtId="0" fontId="4" fillId="6" borderId="1" xfId="2" applyFill="1" applyBorder="1"/>
    <xf numFmtId="1" fontId="0" fillId="6" borderId="1" xfId="0" applyNumberFormat="1" applyFill="1" applyBorder="1" applyAlignment="1">
      <alignment horizontal="left" vertical="center" wrapText="1"/>
    </xf>
    <xf numFmtId="0" fontId="0" fillId="6" borderId="0" xfId="0" applyFill="1" applyAlignment="1">
      <alignment horizontal="left" vertical="center"/>
    </xf>
    <xf numFmtId="164" fontId="0" fillId="3" borderId="1" xfId="0" applyNumberFormat="1" applyFill="1" applyBorder="1" applyAlignment="1">
      <alignment horizontal="left" vertical="center" wrapText="1"/>
    </xf>
    <xf numFmtId="0" fontId="0" fillId="3" borderId="1" xfId="0" quotePrefix="1" applyFill="1" applyBorder="1" applyAlignment="1">
      <alignment horizontal="left" vertical="center"/>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4" fillId="3" borderId="1" xfId="2" applyFill="1" applyBorder="1"/>
    <xf numFmtId="0" fontId="0" fillId="3" borderId="1" xfId="0" applyFill="1" applyBorder="1" applyAlignment="1">
      <alignment vertical="center"/>
    </xf>
    <xf numFmtId="49" fontId="0" fillId="3" borderId="1" xfId="0" quotePrefix="1" applyNumberFormat="1" applyFill="1" applyBorder="1" applyAlignment="1">
      <alignment horizontal="left" vertical="center" wrapText="1"/>
    </xf>
    <xf numFmtId="17" fontId="0" fillId="3" borderId="1" xfId="0" applyNumberFormat="1" applyFill="1" applyBorder="1" applyAlignment="1">
      <alignment horizontal="left" vertical="center" wrapText="1"/>
    </xf>
    <xf numFmtId="1" fontId="0" fillId="3" borderId="1" xfId="0" applyNumberFormat="1" applyFill="1" applyBorder="1" applyAlignment="1">
      <alignment horizontal="left" vertical="center" wrapText="1"/>
    </xf>
    <xf numFmtId="1" fontId="0" fillId="8" borderId="1" xfId="0" applyNumberFormat="1" applyFill="1" applyBorder="1" applyAlignment="1">
      <alignment horizontal="left" vertical="center" wrapText="1"/>
    </xf>
    <xf numFmtId="16" fontId="0" fillId="7" borderId="1" xfId="0" applyNumberFormat="1" applyFill="1" applyBorder="1" applyAlignment="1">
      <alignment horizontal="left" vertical="center" wrapText="1"/>
    </xf>
    <xf numFmtId="0" fontId="4" fillId="3" borderId="0" xfId="2" applyFill="1"/>
    <xf numFmtId="16" fontId="0" fillId="3" borderId="1" xfId="0" applyNumberFormat="1" applyFill="1" applyBorder="1" applyAlignment="1">
      <alignment horizontal="left" vertical="center" wrapText="1"/>
    </xf>
    <xf numFmtId="16" fontId="0" fillId="6" borderId="1" xfId="0" applyNumberFormat="1" applyFill="1" applyBorder="1" applyAlignment="1">
      <alignment horizontal="left" vertical="center" wrapText="1"/>
    </xf>
    <xf numFmtId="164" fontId="0" fillId="6" borderId="0" xfId="0" applyNumberFormat="1" applyFill="1" applyAlignment="1">
      <alignment horizontal="left" vertical="center" wrapText="1"/>
    </xf>
    <xf numFmtId="0" fontId="9" fillId="11" borderId="1" xfId="0" applyFont="1" applyFill="1" applyBorder="1" applyAlignment="1">
      <alignment horizontal="left" vertical="center" wrapText="1"/>
    </xf>
    <xf numFmtId="0" fontId="9" fillId="11" borderId="15" xfId="0" applyFont="1" applyFill="1" applyBorder="1" applyAlignment="1">
      <alignment horizontal="left" vertical="center" wrapText="1"/>
    </xf>
    <xf numFmtId="0" fontId="10" fillId="11" borderId="1" xfId="0" applyFont="1" applyFill="1" applyBorder="1" applyAlignment="1">
      <alignment horizontal="left" vertical="center" wrapText="1"/>
    </xf>
    <xf numFmtId="0" fontId="10" fillId="11" borderId="7" xfId="0" applyFont="1" applyFill="1" applyBorder="1" applyAlignment="1">
      <alignment horizontal="center" vertical="center" wrapText="1"/>
    </xf>
    <xf numFmtId="0" fontId="10" fillId="11" borderId="10" xfId="0" applyFont="1" applyFill="1" applyBorder="1" applyAlignment="1">
      <alignment horizontal="center" vertical="center" wrapText="1"/>
    </xf>
    <xf numFmtId="0" fontId="10" fillId="11" borderId="6" xfId="0" applyFont="1" applyFill="1" applyBorder="1" applyAlignment="1">
      <alignment horizontal="center" vertical="center" wrapText="1"/>
    </xf>
    <xf numFmtId="164" fontId="9" fillId="11" borderId="4" xfId="0" applyNumberFormat="1" applyFont="1" applyFill="1" applyBorder="1" applyAlignment="1">
      <alignment horizontal="left" vertical="center" wrapText="1"/>
    </xf>
    <xf numFmtId="164" fontId="9" fillId="11" borderId="16" xfId="0" applyNumberFormat="1" applyFont="1" applyFill="1" applyBorder="1" applyAlignment="1">
      <alignment horizontal="left" vertical="center" wrapText="1"/>
    </xf>
    <xf numFmtId="0" fontId="9" fillId="11" borderId="4" xfId="0" applyFont="1" applyFill="1" applyBorder="1" applyAlignment="1">
      <alignment horizontal="left" vertical="center" wrapText="1"/>
    </xf>
    <xf numFmtId="0" fontId="9" fillId="11" borderId="16" xfId="0" applyFont="1" applyFill="1" applyBorder="1" applyAlignment="1">
      <alignment horizontal="left" vertical="center" wrapText="1"/>
    </xf>
    <xf numFmtId="164" fontId="9" fillId="11" borderId="7" xfId="0" applyNumberFormat="1" applyFont="1" applyFill="1" applyBorder="1" applyAlignment="1">
      <alignment horizontal="left" vertical="center" wrapText="1"/>
    </xf>
    <xf numFmtId="164" fontId="9" fillId="11" borderId="10" xfId="0" applyNumberFormat="1" applyFont="1" applyFill="1" applyBorder="1" applyAlignment="1">
      <alignment horizontal="left" vertical="center" wrapText="1"/>
    </xf>
    <xf numFmtId="164" fontId="9" fillId="11" borderId="6" xfId="0" applyNumberFormat="1" applyFont="1" applyFill="1" applyBorder="1" applyAlignment="1">
      <alignment horizontal="left" vertical="center" wrapText="1"/>
    </xf>
    <xf numFmtId="0" fontId="1" fillId="0" borderId="3" xfId="0" applyFont="1" applyBorder="1" applyAlignment="1">
      <alignment horizontal="left"/>
    </xf>
    <xf numFmtId="0" fontId="1" fillId="0" borderId="2" xfId="0" applyFont="1" applyBorder="1" applyAlignment="1">
      <alignment horizontal="left"/>
    </xf>
    <xf numFmtId="0" fontId="1" fillId="0" borderId="0" xfId="0" applyFont="1" applyAlignment="1">
      <alignment horizontal="center"/>
    </xf>
  </cellXfs>
  <cellStyles count="3">
    <cellStyle name="Lien hypertexte" xfId="2" builtinId="8"/>
    <cellStyle name="Normal" xfId="0" builtinId="0"/>
    <cellStyle name="Pourcentage" xfId="1" builtinId="5"/>
  </cellStyles>
  <dxfs count="0"/>
  <tableStyles count="0" defaultTableStyle="TableStyleMedium2" defaultPivotStyle="PivotStyleLight16"/>
  <colors>
    <mruColors>
      <color rgb="FFFF9B9B"/>
      <color rgb="FFFF9999"/>
      <color rgb="FFFFC9C9"/>
      <color rgb="FFFF7C8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fr-CH" sz="1200">
                <a:solidFill>
                  <a:schemeClr val="tx1"/>
                </a:solidFill>
                <a:latin typeface="Graphik Medium" panose="020B0603030202060203" pitchFamily="34" charset="0"/>
              </a:rPr>
              <a:t>PROVENANCE DES DEMANDES 2025</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4CC9-4B6C-9CB8-5758E22C9841}"/>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CC9-4B6C-9CB8-5758E22C9841}"/>
              </c:ext>
            </c:extLst>
          </c:dPt>
          <c:dPt>
            <c:idx val="2"/>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4CC9-4B6C-9CB8-5758E22C9841}"/>
              </c:ext>
            </c:extLst>
          </c:dPt>
          <c:dPt>
            <c:idx val="3"/>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CC9-4B6C-9CB8-5758E22C9841}"/>
              </c:ext>
            </c:extLst>
          </c:dPt>
          <c:dPt>
            <c:idx val="4"/>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3C97-49DF-B1B7-8CB27F3C9878}"/>
              </c:ext>
            </c:extLst>
          </c:dPt>
          <c:dPt>
            <c:idx val="5"/>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3C97-49DF-B1B7-8CB27F3C9878}"/>
              </c:ext>
            </c:extLst>
          </c:dPt>
          <c:dPt>
            <c:idx val="6"/>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3C97-49DF-B1B7-8CB27F3C9878}"/>
              </c:ext>
            </c:extLst>
          </c:dPt>
          <c:dPt>
            <c:idx val="7"/>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BADE-431B-BC72-FB73E3E3D9C2}"/>
              </c:ext>
            </c:extLst>
          </c:dPt>
          <c:dPt>
            <c:idx val="8"/>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BADE-431B-BC72-FB73E3E3D9C2}"/>
              </c:ext>
            </c:extLst>
          </c:dPt>
          <c:dPt>
            <c:idx val="9"/>
            <c:bubble3D val="0"/>
            <c:spPr>
              <a:solidFill>
                <a:schemeClr val="accent6">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BADE-431B-BC72-FB73E3E3D9C2}"/>
              </c:ext>
            </c:extLst>
          </c:dPt>
          <c:dPt>
            <c:idx val="10"/>
            <c:bubble3D val="0"/>
            <c:spPr>
              <a:solidFill>
                <a:schemeClr val="accent5">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9758-4D4F-B821-0A119E00123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fr-FR"/>
                </a:p>
              </c:txPr>
              <c:dLblPos val="outEnd"/>
              <c:showLegendKey val="0"/>
              <c:showVal val="1"/>
              <c:showCatName val="1"/>
              <c:showSerName val="0"/>
              <c:showPercent val="0"/>
              <c:showBubbleSize val="0"/>
              <c:extLst>
                <c:ext xmlns:c16="http://schemas.microsoft.com/office/drawing/2014/chart" uri="{C3380CC4-5D6E-409C-BE32-E72D297353CC}">
                  <c16:uniqueId val="{00000002-4CC9-4B6C-9CB8-5758E22C984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fr-FR"/>
                </a:p>
              </c:txPr>
              <c:dLblPos val="outEnd"/>
              <c:showLegendKey val="0"/>
              <c:showVal val="1"/>
              <c:showCatName val="1"/>
              <c:showSerName val="0"/>
              <c:showPercent val="0"/>
              <c:showBubbleSize val="0"/>
              <c:extLst>
                <c:ext xmlns:c16="http://schemas.microsoft.com/office/drawing/2014/chart" uri="{C3380CC4-5D6E-409C-BE32-E72D297353CC}">
                  <c16:uniqueId val="{00000003-4CC9-4B6C-9CB8-5758E22C9841}"/>
                </c:ext>
              </c:extLst>
            </c:dLbl>
            <c:dLbl>
              <c:idx val="2"/>
              <c:layout>
                <c:manualLayout>
                  <c:x val="-6.4682094681252009E-2"/>
                  <c:y val="5.204744875893714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fr-FR"/>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C9-4B6C-9CB8-5758E22C9841}"/>
                </c:ext>
              </c:extLst>
            </c:dLbl>
            <c:dLbl>
              <c:idx val="3"/>
              <c:delete val="1"/>
              <c:extLst>
                <c:ext xmlns:c15="http://schemas.microsoft.com/office/drawing/2012/chart" uri="{CE6537A1-D6FC-4f65-9D91-7224C49458BB}"/>
                <c:ext xmlns:c16="http://schemas.microsoft.com/office/drawing/2014/chart" uri="{C3380CC4-5D6E-409C-BE32-E72D297353CC}">
                  <c16:uniqueId val="{00000005-4CC9-4B6C-9CB8-5758E22C9841}"/>
                </c:ext>
              </c:extLst>
            </c:dLbl>
            <c:dLbl>
              <c:idx val="4"/>
              <c:layout>
                <c:manualLayout>
                  <c:x val="-3.822123776619437E-2"/>
                  <c:y val="-8.26635950877237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fr-FR"/>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C97-49DF-B1B7-8CB27F3C9878}"/>
                </c:ext>
              </c:extLst>
            </c:dLbl>
            <c:dLbl>
              <c:idx val="5"/>
              <c:layout>
                <c:manualLayout>
                  <c:x val="-3.5281142553410187E-2"/>
                  <c:y val="-3.36777609616652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fr-FR"/>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C97-49DF-B1B7-8CB27F3C9878}"/>
                </c:ext>
              </c:extLst>
            </c:dLbl>
            <c:dLbl>
              <c:idx val="6"/>
              <c:delete val="1"/>
              <c:extLst>
                <c:ext xmlns:c15="http://schemas.microsoft.com/office/drawing/2012/chart" uri="{CE6537A1-D6FC-4f65-9D91-7224C49458BB}"/>
                <c:ext xmlns:c16="http://schemas.microsoft.com/office/drawing/2014/chart" uri="{C3380CC4-5D6E-409C-BE32-E72D297353CC}">
                  <c16:uniqueId val="{0000000B-3C97-49DF-B1B7-8CB27F3C9878}"/>
                </c:ext>
              </c:extLst>
            </c:dLbl>
            <c:dLbl>
              <c:idx val="7"/>
              <c:delete val="1"/>
              <c:extLst>
                <c:ext xmlns:c15="http://schemas.microsoft.com/office/drawing/2012/chart" uri="{CE6537A1-D6FC-4f65-9D91-7224C49458BB}"/>
                <c:ext xmlns:c16="http://schemas.microsoft.com/office/drawing/2014/chart" uri="{C3380CC4-5D6E-409C-BE32-E72D297353CC}">
                  <c16:uniqueId val="{0000000E-BADE-431B-BC72-FB73E3E3D9C2}"/>
                </c:ext>
              </c:extLst>
            </c:dLbl>
            <c:dLbl>
              <c:idx val="8"/>
              <c:delete val="1"/>
              <c:extLst>
                <c:ext xmlns:c15="http://schemas.microsoft.com/office/drawing/2012/chart" uri="{CE6537A1-D6FC-4f65-9D91-7224C49458BB}"/>
                <c:ext xmlns:c16="http://schemas.microsoft.com/office/drawing/2014/chart" uri="{C3380CC4-5D6E-409C-BE32-E72D297353CC}">
                  <c16:uniqueId val="{0000000F-BADE-431B-BC72-FB73E3E3D9C2}"/>
                </c:ext>
              </c:extLst>
            </c:dLbl>
            <c:dLbl>
              <c:idx val="9"/>
              <c:delete val="1"/>
              <c:extLst>
                <c:ext xmlns:c15="http://schemas.microsoft.com/office/drawing/2012/chart" uri="{CE6537A1-D6FC-4f65-9D91-7224C49458BB}"/>
                <c:ext xmlns:c16="http://schemas.microsoft.com/office/drawing/2014/chart" uri="{C3380CC4-5D6E-409C-BE32-E72D297353CC}">
                  <c16:uniqueId val="{00000010-BADE-431B-BC72-FB73E3E3D9C2}"/>
                </c:ext>
              </c:extLst>
            </c:dLbl>
            <c:dLbl>
              <c:idx val="10"/>
              <c:delete val="1"/>
              <c:extLst>
                <c:ext xmlns:c15="http://schemas.microsoft.com/office/drawing/2012/chart" uri="{CE6537A1-D6FC-4f65-9D91-7224C49458BB}"/>
                <c:ext xmlns:c16="http://schemas.microsoft.com/office/drawing/2014/chart" uri="{C3380CC4-5D6E-409C-BE32-E72D297353CC}">
                  <c16:uniqueId val="{00000014-9758-4D4F-B821-0A119E001231}"/>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Statistiques!$A$2:$A$12</c:f>
              <c:strCache>
                <c:ptCount val="11"/>
                <c:pt idx="0">
                  <c:v>CH</c:v>
                </c:pt>
                <c:pt idx="1">
                  <c:v>FR</c:v>
                </c:pt>
                <c:pt idx="2">
                  <c:v>BE</c:v>
                </c:pt>
                <c:pt idx="3">
                  <c:v>NL</c:v>
                </c:pt>
                <c:pt idx="4">
                  <c:v>LUX</c:v>
                </c:pt>
                <c:pt idx="5">
                  <c:v>UK</c:v>
                </c:pt>
                <c:pt idx="6">
                  <c:v>SWE</c:v>
                </c:pt>
                <c:pt idx="7">
                  <c:v>IT</c:v>
                </c:pt>
                <c:pt idx="8">
                  <c:v>CN</c:v>
                </c:pt>
                <c:pt idx="9">
                  <c:v>UAE</c:v>
                </c:pt>
                <c:pt idx="10">
                  <c:v>CA</c:v>
                </c:pt>
              </c:strCache>
            </c:strRef>
          </c:cat>
          <c:val>
            <c:numRef>
              <c:f>Statistiques!$C$2:$C$12</c:f>
              <c:numCache>
                <c:formatCode>0%</c:formatCode>
                <c:ptCount val="11"/>
                <c:pt idx="0">
                  <c:v>0.46296296296296297</c:v>
                </c:pt>
                <c:pt idx="1">
                  <c:v>0.37037037037037035</c:v>
                </c:pt>
                <c:pt idx="2">
                  <c:v>3.7037037037037035E-2</c:v>
                </c:pt>
                <c:pt idx="3">
                  <c:v>0</c:v>
                </c:pt>
                <c:pt idx="4">
                  <c:v>1.8518518518518517E-2</c:v>
                </c:pt>
                <c:pt idx="5">
                  <c:v>0.1111111111111111</c:v>
                </c:pt>
                <c:pt idx="6">
                  <c:v>0</c:v>
                </c:pt>
                <c:pt idx="7">
                  <c:v>0</c:v>
                </c:pt>
                <c:pt idx="8">
                  <c:v>0</c:v>
                </c:pt>
                <c:pt idx="9">
                  <c:v>0</c:v>
                </c:pt>
                <c:pt idx="10">
                  <c:v>0</c:v>
                </c:pt>
              </c:numCache>
            </c:numRef>
          </c:val>
          <c:extLst>
            <c:ext xmlns:c16="http://schemas.microsoft.com/office/drawing/2014/chart" uri="{C3380CC4-5D6E-409C-BE32-E72D297353CC}">
              <c16:uniqueId val="{00000000-4CC9-4B6C-9CB8-5758E22C9841}"/>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H"/>
              <a:t>Répartition</a:t>
            </a:r>
            <a:r>
              <a:rPr lang="fr-CH" baseline="0"/>
              <a:t> des demandes sur l'année</a:t>
            </a:r>
            <a:endParaRPr lang="fr-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CH"/>
        </a:p>
      </c:txPr>
    </c:title>
    <c:autoTitleDeleted val="0"/>
    <c:plotArea>
      <c:layout/>
      <c:barChart>
        <c:barDir val="col"/>
        <c:grouping val="clustered"/>
        <c:varyColors val="0"/>
        <c:ser>
          <c:idx val="0"/>
          <c:order val="0"/>
          <c:spPr>
            <a:solidFill>
              <a:schemeClr val="accent6"/>
            </a:solidFill>
            <a:ln>
              <a:noFill/>
            </a:ln>
            <a:effectLst/>
          </c:spPr>
          <c:invertIfNegative val="0"/>
          <c:cat>
            <c:strRef>
              <c:f>Statistiques!$A$31:$A$42</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Statistiques!$B$31:$B$42</c:f>
              <c:numCache>
                <c:formatCode>General</c:formatCode>
                <c:ptCount val="12"/>
                <c:pt idx="0">
                  <c:v>4</c:v>
                </c:pt>
                <c:pt idx="1">
                  <c:v>3</c:v>
                </c:pt>
                <c:pt idx="2">
                  <c:v>0</c:v>
                </c:pt>
                <c:pt idx="3">
                  <c:v>6</c:v>
                </c:pt>
                <c:pt idx="4">
                  <c:v>1</c:v>
                </c:pt>
                <c:pt idx="5">
                  <c:v>3</c:v>
                </c:pt>
                <c:pt idx="6">
                  <c:v>0</c:v>
                </c:pt>
                <c:pt idx="7">
                  <c:v>7</c:v>
                </c:pt>
                <c:pt idx="8">
                  <c:v>6</c:v>
                </c:pt>
                <c:pt idx="9">
                  <c:v>8</c:v>
                </c:pt>
                <c:pt idx="10">
                  <c:v>5</c:v>
                </c:pt>
                <c:pt idx="11">
                  <c:v>4</c:v>
                </c:pt>
              </c:numCache>
            </c:numRef>
          </c:val>
          <c:extLst>
            <c:ext xmlns:c16="http://schemas.microsoft.com/office/drawing/2014/chart" uri="{C3380CC4-5D6E-409C-BE32-E72D297353CC}">
              <c16:uniqueId val="{00000000-61AF-4125-B800-A80346827581}"/>
            </c:ext>
          </c:extLst>
        </c:ser>
        <c:dLbls>
          <c:showLegendKey val="0"/>
          <c:showVal val="0"/>
          <c:showCatName val="0"/>
          <c:showSerName val="0"/>
          <c:showPercent val="0"/>
          <c:showBubbleSize val="0"/>
        </c:dLbls>
        <c:gapWidth val="219"/>
        <c:overlap val="-27"/>
        <c:axId val="845062880"/>
        <c:axId val="845061632"/>
      </c:barChart>
      <c:catAx>
        <c:axId val="84506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45061632"/>
        <c:crosses val="autoZero"/>
        <c:auto val="1"/>
        <c:lblAlgn val="ctr"/>
        <c:lblOffset val="100"/>
        <c:noMultiLvlLbl val="0"/>
      </c:catAx>
      <c:valAx>
        <c:axId val="84506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4506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H"/>
              <a:t>Répartition</a:t>
            </a:r>
            <a:r>
              <a:rPr lang="fr-CH" baseline="0"/>
              <a:t> des séjours sur l'année</a:t>
            </a:r>
            <a:endParaRPr lang="fr-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CH"/>
        </a:p>
      </c:txPr>
    </c:title>
    <c:autoTitleDeleted val="0"/>
    <c:plotArea>
      <c:layout/>
      <c:barChart>
        <c:barDir val="col"/>
        <c:grouping val="clustered"/>
        <c:varyColors val="0"/>
        <c:ser>
          <c:idx val="0"/>
          <c:order val="0"/>
          <c:tx>
            <c:v>2024</c:v>
          </c:tx>
          <c:spPr>
            <a:solidFill>
              <a:schemeClr val="accent6"/>
            </a:solidFill>
            <a:ln>
              <a:noFill/>
            </a:ln>
            <a:effectLst/>
          </c:spPr>
          <c:invertIfNegative val="0"/>
          <c:cat>
            <c:strRef>
              <c:f>Statistiques!$A$51:$A$62</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Statistiques!$B$51:$B$62</c:f>
              <c:numCache>
                <c:formatCode>General</c:formatCode>
                <c:ptCount val="12"/>
                <c:pt idx="0">
                  <c:v>0</c:v>
                </c:pt>
                <c:pt idx="1">
                  <c:v>0</c:v>
                </c:pt>
                <c:pt idx="2">
                  <c:v>3</c:v>
                </c:pt>
                <c:pt idx="3">
                  <c:v>0</c:v>
                </c:pt>
                <c:pt idx="4">
                  <c:v>1</c:v>
                </c:pt>
                <c:pt idx="5">
                  <c:v>2</c:v>
                </c:pt>
                <c:pt idx="6">
                  <c:v>0</c:v>
                </c:pt>
                <c:pt idx="7">
                  <c:v>1</c:v>
                </c:pt>
                <c:pt idx="8">
                  <c:v>4</c:v>
                </c:pt>
                <c:pt idx="9">
                  <c:v>3</c:v>
                </c:pt>
                <c:pt idx="10">
                  <c:v>1</c:v>
                </c:pt>
                <c:pt idx="11">
                  <c:v>3</c:v>
                </c:pt>
              </c:numCache>
            </c:numRef>
          </c:val>
          <c:extLst>
            <c:ext xmlns:c16="http://schemas.microsoft.com/office/drawing/2014/chart" uri="{C3380CC4-5D6E-409C-BE32-E72D297353CC}">
              <c16:uniqueId val="{00000000-4B8B-43C4-838B-E52DEB8F6C9A}"/>
            </c:ext>
          </c:extLst>
        </c:ser>
        <c:ser>
          <c:idx val="1"/>
          <c:order val="1"/>
          <c:tx>
            <c:v>2025</c:v>
          </c:tx>
          <c:spPr>
            <a:solidFill>
              <a:schemeClr val="accent5"/>
            </a:solidFill>
            <a:ln>
              <a:noFill/>
            </a:ln>
            <a:effectLst/>
          </c:spPr>
          <c:invertIfNegative val="0"/>
          <c:cat>
            <c:strRef>
              <c:f>Statistiques!$A$51:$A$62</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Statistiques!$C$51:$C$62</c:f>
              <c:numCache>
                <c:formatCode>General</c:formatCode>
                <c:ptCount val="12"/>
                <c:pt idx="0">
                  <c:v>9</c:v>
                </c:pt>
                <c:pt idx="1">
                  <c:v>5</c:v>
                </c:pt>
                <c:pt idx="2">
                  <c:v>9</c:v>
                </c:pt>
                <c:pt idx="3">
                  <c:v>2</c:v>
                </c:pt>
                <c:pt idx="4">
                  <c:v>1</c:v>
                </c:pt>
                <c:pt idx="5">
                  <c:v>1</c:v>
                </c:pt>
                <c:pt idx="6">
                  <c:v>0</c:v>
                </c:pt>
                <c:pt idx="7">
                  <c:v>0</c:v>
                </c:pt>
                <c:pt idx="8">
                  <c:v>0</c:v>
                </c:pt>
                <c:pt idx="9">
                  <c:v>0</c:v>
                </c:pt>
                <c:pt idx="10">
                  <c:v>1</c:v>
                </c:pt>
                <c:pt idx="11">
                  <c:v>0</c:v>
                </c:pt>
              </c:numCache>
            </c:numRef>
          </c:val>
          <c:extLst>
            <c:ext xmlns:c16="http://schemas.microsoft.com/office/drawing/2014/chart" uri="{C3380CC4-5D6E-409C-BE32-E72D297353CC}">
              <c16:uniqueId val="{00000001-4B8B-43C4-838B-E52DEB8F6C9A}"/>
            </c:ext>
          </c:extLst>
        </c:ser>
        <c:ser>
          <c:idx val="2"/>
          <c:order val="2"/>
          <c:tx>
            <c:v>2026</c:v>
          </c:tx>
          <c:spPr>
            <a:solidFill>
              <a:schemeClr val="accent4"/>
            </a:solidFill>
            <a:ln>
              <a:noFill/>
            </a:ln>
            <a:effectLst/>
          </c:spPr>
          <c:invertIfNegative val="0"/>
          <c:cat>
            <c:strRef>
              <c:f>Statistiques!$A$51:$A$62</c:f>
              <c:strCache>
                <c:ptCount val="12"/>
                <c:pt idx="0">
                  <c:v>Janvier</c:v>
                </c:pt>
                <c:pt idx="1">
                  <c:v>Février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Statistiques!$D$51:$D$62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8D8C-4AB4-B7ED-1BDE960C14C7}"/>
            </c:ext>
          </c:extLst>
        </c:ser>
        <c:dLbls>
          <c:showLegendKey val="0"/>
          <c:showVal val="0"/>
          <c:showCatName val="0"/>
          <c:showSerName val="0"/>
          <c:showPercent val="0"/>
          <c:showBubbleSize val="0"/>
        </c:dLbls>
        <c:gapWidth val="219"/>
        <c:overlap val="-27"/>
        <c:axId val="845062880"/>
        <c:axId val="845061632"/>
      </c:barChart>
      <c:catAx>
        <c:axId val="84506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45061632"/>
        <c:crosses val="autoZero"/>
        <c:auto val="1"/>
        <c:lblAlgn val="ctr"/>
        <c:lblOffset val="100"/>
        <c:noMultiLvlLbl val="0"/>
      </c:catAx>
      <c:valAx>
        <c:axId val="84506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4506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34290</xdr:colOff>
      <xdr:row>2</xdr:row>
      <xdr:rowOff>34290</xdr:rowOff>
    </xdr:to>
    <xdr:pic>
      <xdr:nvPicPr>
        <xdr:cNvPr id="2" name="Image 1">
          <a:extLst>
            <a:ext uri="{FF2B5EF4-FFF2-40B4-BE49-F238E27FC236}">
              <a16:creationId xmlns:a16="http://schemas.microsoft.com/office/drawing/2014/main" id="{53BB3E9E-F512-4505-8509-488ACA3A3D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0" y="2505075"/>
          <a:ext cx="2857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xdr:row>
      <xdr:rowOff>0</xdr:rowOff>
    </xdr:from>
    <xdr:to>
      <xdr:col>6</xdr:col>
      <xdr:colOff>34290</xdr:colOff>
      <xdr:row>2</xdr:row>
      <xdr:rowOff>34290</xdr:rowOff>
    </xdr:to>
    <xdr:pic>
      <xdr:nvPicPr>
        <xdr:cNvPr id="3" name="Image 2">
          <a:extLst>
            <a:ext uri="{FF2B5EF4-FFF2-40B4-BE49-F238E27FC236}">
              <a16:creationId xmlns:a16="http://schemas.microsoft.com/office/drawing/2014/main" id="{FD30A5A3-E33A-4206-B590-B6C748B415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24575" y="2400300"/>
          <a:ext cx="2857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157162</xdr:colOff>
      <xdr:row>0</xdr:row>
      <xdr:rowOff>33337</xdr:rowOff>
    </xdr:from>
    <xdr:to>
      <xdr:col>9</xdr:col>
      <xdr:colOff>733425</xdr:colOff>
      <xdr:row>21</xdr:row>
      <xdr:rowOff>180975</xdr:rowOff>
    </xdr:to>
    <xdr:graphicFrame macro="">
      <xdr:nvGraphicFramePr>
        <xdr:cNvPr id="2" name="Graphique 1">
          <a:extLst>
            <a:ext uri="{FF2B5EF4-FFF2-40B4-BE49-F238E27FC236}">
              <a16:creationId xmlns:a16="http://schemas.microsoft.com/office/drawing/2014/main" id="{79920C3B-ED46-42DA-AA7F-A38913DE3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757237</xdr:colOff>
      <xdr:row>29</xdr:row>
      <xdr:rowOff>4762</xdr:rowOff>
    </xdr:from>
    <xdr:to>
      <xdr:col>9</xdr:col>
      <xdr:colOff>757237</xdr:colOff>
      <xdr:row>43</xdr:row>
      <xdr:rowOff>80962</xdr:rowOff>
    </xdr:to>
    <xdr:graphicFrame macro="">
      <xdr:nvGraphicFramePr>
        <xdr:cNvPr id="6" name="Graphique 5">
          <a:extLst>
            <a:ext uri="{FF2B5EF4-FFF2-40B4-BE49-F238E27FC236}">
              <a16:creationId xmlns:a16="http://schemas.microsoft.com/office/drawing/2014/main" id="{5975BE11-4511-4958-8B4E-89AA88F36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49</xdr:row>
      <xdr:rowOff>0</xdr:rowOff>
    </xdr:from>
    <xdr:to>
      <xdr:col>11</xdr:col>
      <xdr:colOff>0</xdr:colOff>
      <xdr:row>63</xdr:row>
      <xdr:rowOff>76200</xdr:rowOff>
    </xdr:to>
    <xdr:graphicFrame macro="">
      <xdr:nvGraphicFramePr>
        <xdr:cNvPr id="3" name="Graphique 2">
          <a:extLst>
            <a:ext uri="{FF2B5EF4-FFF2-40B4-BE49-F238E27FC236}">
              <a16:creationId xmlns:a16="http://schemas.microsoft.com/office/drawing/2014/main" id="{80FE10EB-34EB-427F-BC08-AFB216854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chefdeprojet@joubert-events.com" TargetMode="External"/><Relationship Id="rId18" Type="http://schemas.openxmlformats.org/officeDocument/2006/relationships/hyperlink" Target="mailto:pmillion@vmis.fr" TargetMode="External"/><Relationship Id="rId26" Type="http://schemas.openxmlformats.org/officeDocument/2006/relationships/hyperlink" Target="mailto:mtourillon@havasvoyages-events.fr" TargetMode="External"/><Relationship Id="rId39" Type="http://schemas.openxmlformats.org/officeDocument/2006/relationships/hyperlink" Target="mailto:tasha@principalge.com" TargetMode="External"/><Relationship Id="rId21" Type="http://schemas.openxmlformats.org/officeDocument/2006/relationships/hyperlink" Target="mailto:charlotte@qtpevents.com" TargetMode="External"/><Relationship Id="rId34" Type="http://schemas.openxmlformats.org/officeDocument/2006/relationships/hyperlink" Target="mailto:howard@lmcongress.ch" TargetMode="External"/><Relationship Id="rId42" Type="http://schemas.openxmlformats.org/officeDocument/2006/relationships/hyperlink" Target="mailto:doug@skiweekend.com" TargetMode="External"/><Relationship Id="rId47" Type="http://schemas.openxmlformats.org/officeDocument/2006/relationships/hyperlink" Target="mailto:stephanie.guardini@kleyrgrasso.com" TargetMode="External"/><Relationship Id="rId50" Type="http://schemas.openxmlformats.org/officeDocument/2006/relationships/hyperlink" Target="mailto:cleborgne@ime%20groupe.com" TargetMode="External"/><Relationship Id="rId55" Type="http://schemas.openxmlformats.org/officeDocument/2006/relationships/drawing" Target="../drawings/drawing1.xml"/><Relationship Id="rId7" Type="http://schemas.openxmlformats.org/officeDocument/2006/relationships/hyperlink" Target="mailto:mice@btafirst.com" TargetMode="External"/><Relationship Id="rId2" Type="http://schemas.openxmlformats.org/officeDocument/2006/relationships/hyperlink" Target="mailto:holiday@blueskytravel.be" TargetMode="External"/><Relationship Id="rId16" Type="http://schemas.openxmlformats.org/officeDocument/2006/relationships/hyperlink" Target="mailto:nadia.biondi@amexgbt.com" TargetMode="External"/><Relationship Id="rId29" Type="http://schemas.openxmlformats.org/officeDocument/2006/relationships/hyperlink" Target="mailto:Mary@creativespirit.eu" TargetMode="External"/><Relationship Id="rId11" Type="http://schemas.openxmlformats.org/officeDocument/2006/relationships/hyperlink" Target="mailto:vanessa.demelo@flyability.com" TargetMode="External"/><Relationship Id="rId24" Type="http://schemas.openxmlformats.org/officeDocument/2006/relationships/hyperlink" Target="mailto:l.unterrassner@kyburz-sapphire.ch" TargetMode="External"/><Relationship Id="rId32" Type="http://schemas.openxmlformats.org/officeDocument/2006/relationships/hyperlink" Target="mailto:richard@kites-events.agency" TargetMode="External"/><Relationship Id="rId37" Type="http://schemas.openxmlformats.org/officeDocument/2006/relationships/hyperlink" Target="mailto:Lseprus@stc.ca" TargetMode="External"/><Relationship Id="rId40" Type="http://schemas.openxmlformats.org/officeDocument/2006/relationships/hyperlink" Target="mailto:kruno@onsitehub.eu" TargetMode="External"/><Relationship Id="rId45" Type="http://schemas.openxmlformats.org/officeDocument/2006/relationships/hyperlink" Target="mailto:cleborgne@ime%20groupe.com" TargetMode="External"/><Relationship Id="rId53" Type="http://schemas.openxmlformats.org/officeDocument/2006/relationships/hyperlink" Target="mailto:frederic@recallagency.com" TargetMode="External"/><Relationship Id="rId5" Type="http://schemas.openxmlformats.org/officeDocument/2006/relationships/hyperlink" Target="mailto:quentin.reinhart@les3vallees.com" TargetMode="External"/><Relationship Id="rId10" Type="http://schemas.openxmlformats.org/officeDocument/2006/relationships/hyperlink" Target="mailto:jessica.favre@arx.ing" TargetMode="External"/><Relationship Id="rId19" Type="http://schemas.openxmlformats.org/officeDocument/2006/relationships/hyperlink" Target="mailto:camilleplanqueraillard@gmail.com" TargetMode="External"/><Relationship Id="rId31" Type="http://schemas.openxmlformats.org/officeDocument/2006/relationships/hyperlink" Target="mailto:syan.perrin@gmail.com" TargetMode="External"/><Relationship Id="rId44" Type="http://schemas.openxmlformats.org/officeDocument/2006/relationships/hyperlink" Target="mailto:gilles@wedo.com" TargetMode="External"/><Relationship Id="rId52" Type="http://schemas.openxmlformats.org/officeDocument/2006/relationships/hyperlink" Target="mailto:Crispin@hotelsandvenues.co.uk" TargetMode="External"/><Relationship Id="rId4" Type="http://schemas.openxmlformats.org/officeDocument/2006/relationships/hyperlink" Target="mailto:flavie@spotlag.com" TargetMode="External"/><Relationship Id="rId9" Type="http://schemas.openxmlformats.org/officeDocument/2006/relationships/hyperlink" Target="mailto:sabrina.martone@epfl.ch" TargetMode="External"/><Relationship Id="rId14" Type="http://schemas.openxmlformats.org/officeDocument/2006/relationships/hyperlink" Target="mailto:claire@athome-events.co.uk" TargetMode="External"/><Relationship Id="rId22" Type="http://schemas.openxmlformats.org/officeDocument/2006/relationships/hyperlink" Target="mailto:maino@ilo.org" TargetMode="External"/><Relationship Id="rId27" Type="http://schemas.openxmlformats.org/officeDocument/2006/relationships/hyperlink" Target="mailto:assistantes.dir.dctn@geneve.ch" TargetMode="External"/><Relationship Id="rId30" Type="http://schemas.openxmlformats.org/officeDocument/2006/relationships/hyperlink" Target="mailto:fiona.schaad@wearemci.com" TargetMode="External"/><Relationship Id="rId35" Type="http://schemas.openxmlformats.org/officeDocument/2006/relationships/hyperlink" Target="mailto:estelle@inuicollection.com" TargetMode="External"/><Relationship Id="rId43" Type="http://schemas.openxmlformats.org/officeDocument/2006/relationships/hyperlink" Target="mailto:j.martin@complexbau.ch" TargetMode="External"/><Relationship Id="rId48" Type="http://schemas.openxmlformats.org/officeDocument/2006/relationships/hyperlink" Target="mailto:nirmala.rilliet@conventus-swiss.com" TargetMode="External"/><Relationship Id="rId8" Type="http://schemas.openxmlformats.org/officeDocument/2006/relationships/hyperlink" Target="mailto:natalie.birtele@pmi.com" TargetMode="External"/><Relationship Id="rId51" Type="http://schemas.openxmlformats.org/officeDocument/2006/relationships/hyperlink" Target="mailto:cleborgne@ime%20groupe.com" TargetMode="External"/><Relationship Id="rId3" Type="http://schemas.openxmlformats.org/officeDocument/2006/relationships/hyperlink" Target="mailto:melisa.dakaj@nestle.com" TargetMode="External"/><Relationship Id="rId12" Type="http://schemas.openxmlformats.org/officeDocument/2006/relationships/hyperlink" Target="mailto:Natalie.Buff@finass.ch" TargetMode="External"/><Relationship Id="rId17" Type="http://schemas.openxmlformats.org/officeDocument/2006/relationships/hyperlink" Target="mailto:stephane.oppliger@vd.ch" TargetMode="External"/><Relationship Id="rId25" Type="http://schemas.openxmlformats.org/officeDocument/2006/relationships/hyperlink" Target="mailto:agathe.abitbol@groupe-scape.com" TargetMode="External"/><Relationship Id="rId33" Type="http://schemas.openxmlformats.org/officeDocument/2006/relationships/hyperlink" Target="mailto:apagenel@amirantes.eu" TargetMode="External"/><Relationship Id="rId38" Type="http://schemas.openxmlformats.org/officeDocument/2006/relationships/hyperlink" Target="mailto:carole.pourrain@idescale.fr" TargetMode="External"/><Relationship Id="rId46" Type="http://schemas.openxmlformats.org/officeDocument/2006/relationships/hyperlink" Target="mailto:e.fischlin@letsgo-fit.ch" TargetMode="External"/><Relationship Id="rId20" Type="http://schemas.openxmlformats.org/officeDocument/2006/relationships/hyperlink" Target="mailto:vquercia@inventec.dehon.com" TargetMode="External"/><Relationship Id="rId41" Type="http://schemas.openxmlformats.org/officeDocument/2006/relationships/hyperlink" Target="mailto:mjude@sldevents.com" TargetMode="External"/><Relationship Id="rId54" Type="http://schemas.openxmlformats.org/officeDocument/2006/relationships/printerSettings" Target="../printerSettings/printerSettings1.bin"/><Relationship Id="rId1" Type="http://schemas.openxmlformats.org/officeDocument/2006/relationships/hyperlink" Target="mailto:dominika.makos@btevents.pl" TargetMode="External"/><Relationship Id="rId6" Type="http://schemas.openxmlformats.org/officeDocument/2006/relationships/hyperlink" Target="mailto:celine.gex@genedis.ch" TargetMode="External"/><Relationship Id="rId15" Type="http://schemas.openxmlformats.org/officeDocument/2006/relationships/hyperlink" Target="mailto:pauline@purevents.fr" TargetMode="External"/><Relationship Id="rId23" Type="http://schemas.openxmlformats.org/officeDocument/2006/relationships/hyperlink" Target="mailto:jocelyne.beltran@cyrah-events.com" TargetMode="External"/><Relationship Id="rId28" Type="http://schemas.openxmlformats.org/officeDocument/2006/relationships/hyperlink" Target="mailto:s.pidancet@tsm-versoix.ch" TargetMode="External"/><Relationship Id="rId36" Type="http://schemas.openxmlformats.org/officeDocument/2006/relationships/hyperlink" Target="mailto:emiguet@zzzest.com" TargetMode="External"/><Relationship Id="rId49" Type="http://schemas.openxmlformats.org/officeDocument/2006/relationships/hyperlink" Target="mailto:mrioche@scor.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H66"/>
  <sheetViews>
    <sheetView tabSelected="1" zoomScale="70" zoomScaleNormal="70" workbookViewId="0">
      <pane xSplit="3" ySplit="2" topLeftCell="Y55" activePane="bottomRight" state="frozen"/>
      <selection pane="topRight" activeCell="D1" sqref="D1"/>
      <selection pane="bottomLeft" activeCell="A3" sqref="A3"/>
      <selection pane="bottomRight" activeCell="AA56" sqref="AA56"/>
    </sheetView>
  </sheetViews>
  <sheetFormatPr baseColWidth="10" defaultColWidth="11.42578125" defaultRowHeight="15"/>
  <cols>
    <col min="1" max="1" width="45.85546875" style="11" bestFit="1" customWidth="1"/>
    <col min="2" max="2" width="13.7109375" style="11" customWidth="1"/>
    <col min="3" max="3" width="37.85546875" style="18" customWidth="1"/>
    <col min="4" max="4" width="14.140625" style="11" customWidth="1"/>
    <col min="5" max="5" width="16" style="11" customWidth="1"/>
    <col min="6" max="6" width="13.5703125" style="11" customWidth="1"/>
    <col min="7" max="7" width="46.42578125" style="11" bestFit="1" customWidth="1"/>
    <col min="8" max="8" width="10.7109375" style="17" customWidth="1"/>
    <col min="9" max="9" width="12.140625" style="17" customWidth="1"/>
    <col min="10" max="10" width="20.140625" style="17" customWidth="1"/>
    <col min="11" max="11" width="19.28515625" style="17" bestFit="1" customWidth="1"/>
    <col min="12" max="12" width="15.7109375" style="17" customWidth="1"/>
    <col min="13" max="13" width="21" style="17" customWidth="1"/>
    <col min="14" max="14" width="11.7109375" style="18" customWidth="1"/>
    <col min="15" max="15" width="37.85546875" style="18" customWidth="1"/>
    <col min="16" max="16" width="17.7109375" style="17" customWidth="1"/>
    <col min="17" max="17" width="17.42578125" style="17" customWidth="1"/>
    <col min="18" max="18" width="29.85546875" style="17" customWidth="1"/>
    <col min="19" max="19" width="56.5703125" style="17" customWidth="1"/>
    <col min="20" max="20" width="42.5703125" style="17" customWidth="1"/>
    <col min="21" max="21" width="53.7109375" style="17" customWidth="1"/>
    <col min="22" max="23" width="11.42578125" style="17"/>
    <col min="24" max="24" width="60.28515625" style="11" customWidth="1"/>
    <col min="25" max="25" width="28.140625" style="17" customWidth="1"/>
    <col min="26" max="26" width="16.140625" style="17" customWidth="1"/>
    <col min="27" max="27" width="28.7109375" style="17" customWidth="1"/>
    <col min="28" max="28" width="17.140625" style="17" customWidth="1"/>
    <col min="29" max="29" width="67.85546875" style="17" customWidth="1"/>
    <col min="30" max="30" width="13.7109375" style="17" customWidth="1"/>
    <col min="31" max="34" width="11.42578125" style="17"/>
    <col min="35" max="35" width="20" style="17" customWidth="1"/>
    <col min="36" max="36" width="11.42578125" style="17"/>
    <col min="37" max="37" width="10.7109375" style="17" customWidth="1"/>
    <col min="38" max="38" width="16.7109375" style="17" customWidth="1"/>
    <col min="39" max="39" width="19.42578125" style="17" customWidth="1"/>
    <col min="40" max="40" width="16.5703125" style="17" customWidth="1"/>
    <col min="41" max="16384" width="11.42578125" style="17"/>
  </cols>
  <sheetData>
    <row r="1" spans="1:710" s="130" customFormat="1" ht="50.25" customHeight="1">
      <c r="A1" s="188" t="s">
        <v>26</v>
      </c>
      <c r="B1" s="188" t="s">
        <v>336</v>
      </c>
      <c r="C1" s="188" t="s">
        <v>25</v>
      </c>
      <c r="D1" s="188" t="s">
        <v>27</v>
      </c>
      <c r="E1" s="188"/>
      <c r="F1" s="196" t="s">
        <v>65</v>
      </c>
      <c r="G1" s="188" t="s">
        <v>21</v>
      </c>
      <c r="H1" s="188" t="s">
        <v>22</v>
      </c>
      <c r="I1" s="188" t="s">
        <v>29</v>
      </c>
      <c r="J1" s="188" t="s">
        <v>11</v>
      </c>
      <c r="K1" s="188" t="s">
        <v>20</v>
      </c>
      <c r="L1" s="198" t="s">
        <v>337</v>
      </c>
      <c r="M1" s="199"/>
      <c r="N1" s="200"/>
      <c r="O1" s="194" t="s">
        <v>63</v>
      </c>
      <c r="P1" s="188" t="s">
        <v>60</v>
      </c>
      <c r="Q1" s="188" t="s">
        <v>61</v>
      </c>
      <c r="R1" s="188" t="s">
        <v>9</v>
      </c>
      <c r="S1" s="188" t="s">
        <v>13</v>
      </c>
      <c r="T1" s="188"/>
      <c r="U1" s="188" t="s">
        <v>18</v>
      </c>
      <c r="V1" s="188" t="s">
        <v>14</v>
      </c>
      <c r="W1" s="188"/>
      <c r="X1" s="188" t="s">
        <v>28</v>
      </c>
      <c r="Y1" s="188" t="s">
        <v>10</v>
      </c>
      <c r="Z1" s="188" t="s">
        <v>69</v>
      </c>
      <c r="AA1" s="188" t="s">
        <v>86</v>
      </c>
      <c r="AB1" s="188" t="s">
        <v>90</v>
      </c>
      <c r="AC1" s="188" t="s">
        <v>418</v>
      </c>
      <c r="AD1" s="188" t="s">
        <v>30</v>
      </c>
      <c r="AE1" s="191" t="s">
        <v>16</v>
      </c>
      <c r="AF1" s="192"/>
      <c r="AG1" s="192"/>
      <c r="AH1" s="192"/>
      <c r="AI1" s="192"/>
      <c r="AJ1" s="192"/>
      <c r="AK1" s="192"/>
      <c r="AL1" s="192"/>
      <c r="AM1" s="192"/>
      <c r="AN1" s="193"/>
      <c r="AO1" s="190" t="s">
        <v>17</v>
      </c>
      <c r="AP1" s="190"/>
      <c r="AQ1" s="190"/>
      <c r="AR1" s="190"/>
      <c r="AS1" s="190"/>
      <c r="AT1" s="129"/>
      <c r="AU1" s="129"/>
      <c r="AV1" s="129"/>
      <c r="AW1" s="129"/>
      <c r="AX1" s="129"/>
      <c r="AY1" s="129"/>
      <c r="AZ1" s="129"/>
      <c r="BA1" s="129"/>
      <c r="BB1" s="129"/>
      <c r="BC1" s="129"/>
      <c r="BD1" s="129"/>
      <c r="BE1" s="129"/>
      <c r="BF1" s="129"/>
      <c r="BG1" s="129"/>
      <c r="BH1" s="129"/>
      <c r="BI1" s="129"/>
      <c r="BJ1" s="129"/>
      <c r="BK1" s="129"/>
      <c r="BL1" s="129"/>
      <c r="BM1" s="129"/>
      <c r="BN1" s="129"/>
      <c r="BO1" s="129"/>
      <c r="BP1" s="129"/>
      <c r="BQ1" s="129"/>
      <c r="BR1" s="129"/>
      <c r="BS1" s="129"/>
      <c r="BT1" s="129"/>
      <c r="BU1" s="129"/>
      <c r="BV1" s="129"/>
      <c r="BW1" s="129"/>
      <c r="BX1" s="129"/>
      <c r="BY1" s="129"/>
      <c r="BZ1" s="129"/>
      <c r="CA1" s="129"/>
      <c r="CB1" s="129"/>
      <c r="CC1" s="129"/>
      <c r="CD1" s="129"/>
      <c r="CE1" s="129"/>
      <c r="CF1" s="129"/>
      <c r="CG1" s="129"/>
      <c r="CH1" s="129"/>
      <c r="CI1" s="129"/>
      <c r="CJ1" s="129"/>
      <c r="CK1" s="129"/>
      <c r="CL1" s="129"/>
      <c r="CM1" s="129"/>
      <c r="CN1" s="129"/>
      <c r="CO1" s="129"/>
      <c r="CP1" s="129"/>
      <c r="CQ1" s="129"/>
      <c r="CR1" s="129"/>
      <c r="CS1" s="129"/>
      <c r="CT1" s="129"/>
      <c r="CU1" s="129"/>
      <c r="CV1" s="129"/>
      <c r="CW1" s="129"/>
      <c r="CX1" s="129"/>
      <c r="CY1" s="129"/>
      <c r="CZ1" s="129"/>
      <c r="DA1" s="129"/>
      <c r="DB1" s="129"/>
      <c r="DC1" s="129"/>
      <c r="DD1" s="129"/>
      <c r="DE1" s="129"/>
      <c r="DF1" s="129"/>
      <c r="DG1" s="129"/>
      <c r="DH1" s="129"/>
      <c r="DI1" s="129"/>
      <c r="DJ1" s="129"/>
      <c r="DK1" s="129"/>
      <c r="DL1" s="129"/>
      <c r="DM1" s="129"/>
      <c r="DN1" s="129"/>
      <c r="DO1" s="129"/>
      <c r="DP1" s="129"/>
      <c r="DQ1" s="129"/>
      <c r="DR1" s="129"/>
      <c r="DS1" s="129"/>
      <c r="DT1" s="129"/>
      <c r="DU1" s="129"/>
      <c r="DV1" s="129"/>
      <c r="DW1" s="129"/>
      <c r="DX1" s="129"/>
      <c r="DY1" s="129"/>
      <c r="DZ1" s="129"/>
      <c r="EA1" s="129"/>
      <c r="EB1" s="129"/>
      <c r="EC1" s="129"/>
      <c r="ED1" s="129"/>
      <c r="EE1" s="129"/>
      <c r="EF1" s="129"/>
      <c r="EG1" s="129"/>
      <c r="EH1" s="129"/>
      <c r="EI1" s="129"/>
      <c r="EJ1" s="129"/>
      <c r="EK1" s="129"/>
      <c r="EL1" s="129"/>
      <c r="EM1" s="129"/>
      <c r="EN1" s="129"/>
      <c r="EO1" s="129"/>
      <c r="EP1" s="129"/>
      <c r="EQ1" s="129"/>
      <c r="ER1" s="129"/>
      <c r="ES1" s="129"/>
      <c r="ET1" s="129"/>
      <c r="EU1" s="129"/>
      <c r="EV1" s="129"/>
      <c r="EW1" s="129"/>
      <c r="EX1" s="129"/>
      <c r="EY1" s="129"/>
      <c r="EZ1" s="129"/>
      <c r="FA1" s="129"/>
      <c r="FB1" s="129"/>
      <c r="FC1" s="129"/>
      <c r="FD1" s="129"/>
      <c r="FE1" s="129"/>
      <c r="FF1" s="129"/>
      <c r="FG1" s="129"/>
      <c r="FH1" s="129"/>
      <c r="FI1" s="129"/>
      <c r="FJ1" s="129"/>
      <c r="FK1" s="129"/>
      <c r="FL1" s="129"/>
      <c r="FM1" s="129"/>
      <c r="FN1" s="129"/>
      <c r="FO1" s="129"/>
      <c r="FP1" s="129"/>
      <c r="FQ1" s="129"/>
      <c r="FR1" s="129"/>
      <c r="FS1" s="129"/>
      <c r="FT1" s="129"/>
      <c r="FU1" s="129"/>
      <c r="FV1" s="129"/>
      <c r="FW1" s="129"/>
      <c r="FX1" s="129"/>
      <c r="FY1" s="129"/>
      <c r="FZ1" s="129"/>
      <c r="GA1" s="129"/>
      <c r="GB1" s="129"/>
      <c r="GC1" s="129"/>
      <c r="GD1" s="129"/>
      <c r="GE1" s="129"/>
      <c r="GF1" s="129"/>
      <c r="GG1" s="129"/>
      <c r="GH1" s="129"/>
      <c r="GI1" s="129"/>
      <c r="GJ1" s="129"/>
      <c r="GK1" s="129"/>
      <c r="GL1" s="129"/>
      <c r="GM1" s="129"/>
      <c r="GN1" s="129"/>
      <c r="GO1" s="129"/>
      <c r="GP1" s="129"/>
      <c r="GQ1" s="129"/>
      <c r="GR1" s="129"/>
      <c r="GS1" s="129"/>
      <c r="GT1" s="129"/>
      <c r="GU1" s="129"/>
      <c r="GV1" s="129"/>
      <c r="GW1" s="129"/>
      <c r="GX1" s="129"/>
      <c r="GY1" s="129"/>
      <c r="GZ1" s="129"/>
      <c r="HA1" s="129"/>
      <c r="HB1" s="129"/>
      <c r="HC1" s="129"/>
      <c r="HD1" s="129"/>
      <c r="HE1" s="129"/>
      <c r="HF1" s="129"/>
      <c r="HG1" s="129"/>
      <c r="HH1" s="129"/>
      <c r="HI1" s="129"/>
      <c r="HJ1" s="129"/>
      <c r="HK1" s="129"/>
      <c r="HL1" s="129"/>
      <c r="HM1" s="129"/>
      <c r="HN1" s="129"/>
      <c r="HO1" s="129"/>
      <c r="HP1" s="129"/>
      <c r="HQ1" s="129"/>
      <c r="HR1" s="129"/>
      <c r="HS1" s="129"/>
      <c r="HT1" s="129"/>
      <c r="HU1" s="129"/>
      <c r="HV1" s="129"/>
      <c r="HW1" s="129"/>
      <c r="HX1" s="129"/>
      <c r="HY1" s="129"/>
      <c r="HZ1" s="129"/>
      <c r="IA1" s="129"/>
      <c r="IB1" s="129"/>
      <c r="IC1" s="129"/>
      <c r="ID1" s="129"/>
      <c r="IE1" s="129"/>
      <c r="IF1" s="129"/>
      <c r="IG1" s="129"/>
      <c r="IH1" s="129"/>
      <c r="II1" s="129"/>
      <c r="IJ1" s="129"/>
      <c r="IK1" s="129"/>
      <c r="IL1" s="129"/>
      <c r="IM1" s="129"/>
      <c r="IN1" s="129"/>
      <c r="IO1" s="129"/>
      <c r="IP1" s="129"/>
      <c r="IQ1" s="129"/>
      <c r="IR1" s="129"/>
      <c r="IS1" s="129"/>
      <c r="IT1" s="129"/>
      <c r="IU1" s="129"/>
      <c r="IV1" s="129"/>
      <c r="IW1" s="129"/>
      <c r="IX1" s="129"/>
      <c r="IY1" s="129"/>
      <c r="IZ1" s="129"/>
      <c r="JA1" s="129"/>
      <c r="JB1" s="129"/>
      <c r="JC1" s="129"/>
      <c r="JD1" s="129"/>
      <c r="JE1" s="129"/>
      <c r="JF1" s="129"/>
      <c r="JG1" s="129"/>
      <c r="JH1" s="129"/>
      <c r="JI1" s="129"/>
      <c r="JJ1" s="129"/>
      <c r="JK1" s="129"/>
      <c r="JL1" s="129"/>
      <c r="JM1" s="129"/>
      <c r="JN1" s="129"/>
      <c r="JO1" s="129"/>
      <c r="JP1" s="129"/>
      <c r="JQ1" s="129"/>
      <c r="JR1" s="129"/>
      <c r="JS1" s="129"/>
      <c r="JT1" s="129"/>
      <c r="JU1" s="129"/>
      <c r="JV1" s="129"/>
      <c r="JW1" s="129"/>
      <c r="JX1" s="129"/>
      <c r="JY1" s="129"/>
      <c r="JZ1" s="129"/>
      <c r="KA1" s="129"/>
      <c r="KB1" s="129"/>
      <c r="KC1" s="129"/>
      <c r="KD1" s="129"/>
      <c r="KE1" s="129"/>
      <c r="KF1" s="129"/>
      <c r="KG1" s="129"/>
      <c r="KH1" s="129"/>
      <c r="KI1" s="129"/>
      <c r="KJ1" s="129"/>
      <c r="KK1" s="129"/>
      <c r="KL1" s="129"/>
      <c r="KM1" s="129"/>
      <c r="KN1" s="129"/>
      <c r="KO1" s="129"/>
      <c r="KP1" s="129"/>
      <c r="KQ1" s="129"/>
      <c r="KR1" s="129"/>
      <c r="KS1" s="129"/>
      <c r="KT1" s="129"/>
      <c r="KU1" s="129"/>
      <c r="KV1" s="129"/>
      <c r="KW1" s="129"/>
      <c r="KX1" s="129"/>
      <c r="KY1" s="129"/>
      <c r="KZ1" s="129"/>
      <c r="LA1" s="129"/>
      <c r="LB1" s="129"/>
      <c r="LC1" s="129"/>
      <c r="LD1" s="129"/>
      <c r="LE1" s="129"/>
      <c r="LF1" s="129"/>
      <c r="LG1" s="129"/>
      <c r="LH1" s="129"/>
      <c r="LI1" s="129"/>
      <c r="LJ1" s="129"/>
      <c r="LK1" s="129"/>
      <c r="LL1" s="129"/>
      <c r="LM1" s="129"/>
      <c r="LN1" s="129"/>
      <c r="LO1" s="129"/>
      <c r="LP1" s="129"/>
      <c r="LQ1" s="129"/>
      <c r="LR1" s="129"/>
      <c r="LS1" s="129"/>
      <c r="LT1" s="129"/>
      <c r="LU1" s="129"/>
      <c r="LV1" s="129"/>
      <c r="LW1" s="129"/>
      <c r="LX1" s="129"/>
      <c r="LY1" s="129"/>
      <c r="LZ1" s="129"/>
      <c r="MA1" s="129"/>
      <c r="MB1" s="129"/>
      <c r="MC1" s="129"/>
      <c r="MD1" s="129"/>
      <c r="ME1" s="129"/>
      <c r="MF1" s="129"/>
      <c r="MG1" s="129"/>
      <c r="MH1" s="129"/>
      <c r="MI1" s="129"/>
      <c r="MJ1" s="129"/>
      <c r="MK1" s="129"/>
      <c r="ML1" s="129"/>
      <c r="MM1" s="129"/>
      <c r="MN1" s="129"/>
      <c r="MO1" s="129"/>
      <c r="MP1" s="129"/>
      <c r="MQ1" s="129"/>
      <c r="MR1" s="129"/>
      <c r="MS1" s="129"/>
      <c r="MT1" s="129"/>
      <c r="MU1" s="129"/>
      <c r="MV1" s="129"/>
      <c r="MW1" s="129"/>
      <c r="MX1" s="129"/>
      <c r="MY1" s="129"/>
      <c r="MZ1" s="129"/>
      <c r="NA1" s="129"/>
      <c r="NB1" s="129"/>
      <c r="NC1" s="129"/>
      <c r="ND1" s="129"/>
      <c r="NE1" s="129"/>
      <c r="NF1" s="129"/>
      <c r="NG1" s="129"/>
      <c r="NH1" s="129"/>
      <c r="NI1" s="129"/>
      <c r="NJ1" s="129"/>
      <c r="NK1" s="129"/>
      <c r="NL1" s="129"/>
      <c r="NM1" s="129"/>
      <c r="NN1" s="129"/>
      <c r="NO1" s="129"/>
      <c r="NP1" s="129"/>
      <c r="NQ1" s="129"/>
      <c r="NR1" s="129"/>
      <c r="NS1" s="129"/>
      <c r="NT1" s="129"/>
      <c r="NU1" s="129"/>
      <c r="NV1" s="129"/>
      <c r="NW1" s="129"/>
      <c r="NX1" s="129"/>
      <c r="NY1" s="129"/>
      <c r="NZ1" s="129"/>
      <c r="OA1" s="129"/>
      <c r="OB1" s="129"/>
      <c r="OC1" s="129"/>
      <c r="OD1" s="129"/>
      <c r="OE1" s="129"/>
      <c r="OF1" s="129"/>
      <c r="OG1" s="129"/>
      <c r="OH1" s="129"/>
      <c r="OI1" s="129"/>
      <c r="OJ1" s="129"/>
      <c r="OK1" s="129"/>
      <c r="OL1" s="129"/>
      <c r="OM1" s="129"/>
      <c r="ON1" s="129"/>
      <c r="OO1" s="129"/>
      <c r="OP1" s="129"/>
      <c r="OQ1" s="129"/>
      <c r="OR1" s="129"/>
      <c r="OS1" s="129"/>
      <c r="OT1" s="129"/>
      <c r="OU1" s="129"/>
      <c r="OV1" s="129"/>
      <c r="OW1" s="129"/>
      <c r="OX1" s="129"/>
      <c r="OY1" s="129"/>
      <c r="OZ1" s="129"/>
      <c r="PA1" s="129"/>
      <c r="PB1" s="129"/>
      <c r="PC1" s="129"/>
      <c r="PD1" s="129"/>
      <c r="PE1" s="129"/>
      <c r="PF1" s="129"/>
      <c r="PG1" s="129"/>
      <c r="PH1" s="129"/>
      <c r="PI1" s="129"/>
      <c r="PJ1" s="129"/>
      <c r="PK1" s="129"/>
      <c r="PL1" s="129"/>
      <c r="PM1" s="129"/>
      <c r="PN1" s="129"/>
      <c r="PO1" s="129"/>
      <c r="PP1" s="129"/>
      <c r="PQ1" s="129"/>
      <c r="PR1" s="129"/>
      <c r="PS1" s="129"/>
      <c r="PT1" s="129"/>
      <c r="PU1" s="129"/>
      <c r="PV1" s="129"/>
      <c r="PW1" s="129"/>
      <c r="PX1" s="129"/>
      <c r="PY1" s="129"/>
      <c r="PZ1" s="129"/>
      <c r="QA1" s="129"/>
      <c r="QB1" s="129"/>
      <c r="QC1" s="129"/>
      <c r="QD1" s="129"/>
      <c r="QE1" s="129"/>
      <c r="QF1" s="129"/>
      <c r="QG1" s="129"/>
      <c r="QH1" s="129"/>
      <c r="QI1" s="129"/>
      <c r="QJ1" s="129"/>
      <c r="QK1" s="129"/>
      <c r="QL1" s="129"/>
      <c r="QM1" s="129"/>
      <c r="QN1" s="129"/>
      <c r="QO1" s="129"/>
      <c r="QP1" s="129"/>
      <c r="QQ1" s="129"/>
      <c r="QR1" s="129"/>
      <c r="QS1" s="129"/>
      <c r="QT1" s="129"/>
      <c r="QU1" s="129"/>
      <c r="QV1" s="129"/>
      <c r="QW1" s="129"/>
      <c r="QX1" s="129"/>
      <c r="QY1" s="129"/>
      <c r="QZ1" s="129"/>
      <c r="RA1" s="129"/>
      <c r="RB1" s="129"/>
      <c r="RC1" s="129"/>
      <c r="RD1" s="129"/>
      <c r="RE1" s="129"/>
      <c r="RF1" s="129"/>
      <c r="RG1" s="129"/>
      <c r="RH1" s="129"/>
      <c r="RI1" s="129"/>
      <c r="RJ1" s="129"/>
      <c r="RK1" s="129"/>
      <c r="RL1" s="129"/>
      <c r="RM1" s="129"/>
      <c r="RN1" s="129"/>
      <c r="RO1" s="129"/>
      <c r="RP1" s="129"/>
      <c r="RQ1" s="129"/>
      <c r="RR1" s="129"/>
      <c r="RS1" s="129"/>
      <c r="RT1" s="129"/>
      <c r="RU1" s="129"/>
      <c r="RV1" s="129"/>
      <c r="RW1" s="129"/>
      <c r="RX1" s="129"/>
      <c r="RY1" s="129"/>
      <c r="RZ1" s="129"/>
      <c r="SA1" s="129"/>
      <c r="SB1" s="129"/>
      <c r="SC1" s="129"/>
      <c r="SD1" s="129"/>
      <c r="SE1" s="129"/>
      <c r="SF1" s="129"/>
      <c r="SG1" s="129"/>
      <c r="SH1" s="129"/>
      <c r="SI1" s="129"/>
      <c r="SJ1" s="129"/>
      <c r="SK1" s="129"/>
      <c r="SL1" s="129"/>
      <c r="SM1" s="129"/>
      <c r="SN1" s="129"/>
      <c r="SO1" s="129"/>
      <c r="SP1" s="129"/>
      <c r="SQ1" s="129"/>
      <c r="SR1" s="129"/>
      <c r="SS1" s="129"/>
      <c r="ST1" s="129"/>
      <c r="SU1" s="129"/>
      <c r="SV1" s="129"/>
      <c r="SW1" s="129"/>
      <c r="SX1" s="129"/>
      <c r="SY1" s="129"/>
      <c r="SZ1" s="129"/>
      <c r="TA1" s="129"/>
      <c r="TB1" s="129"/>
      <c r="TC1" s="129"/>
      <c r="TD1" s="129"/>
      <c r="TE1" s="129"/>
      <c r="TF1" s="129"/>
      <c r="TG1" s="129"/>
      <c r="TH1" s="129"/>
      <c r="TI1" s="129"/>
      <c r="TJ1" s="129"/>
      <c r="TK1" s="129"/>
      <c r="TL1" s="129"/>
      <c r="TM1" s="129"/>
      <c r="TN1" s="129"/>
      <c r="TO1" s="129"/>
      <c r="TP1" s="129"/>
      <c r="TQ1" s="129"/>
      <c r="TR1" s="129"/>
      <c r="TS1" s="129"/>
      <c r="TT1" s="129"/>
      <c r="TU1" s="129"/>
      <c r="TV1" s="129"/>
      <c r="TW1" s="129"/>
      <c r="TX1" s="129"/>
      <c r="TY1" s="129"/>
      <c r="TZ1" s="129"/>
      <c r="UA1" s="129"/>
      <c r="UB1" s="129"/>
      <c r="UC1" s="129"/>
      <c r="UD1" s="129"/>
      <c r="UE1" s="129"/>
      <c r="UF1" s="129"/>
      <c r="UG1" s="129"/>
      <c r="UH1" s="129"/>
      <c r="UI1" s="129"/>
      <c r="UJ1" s="129"/>
      <c r="UK1" s="129"/>
      <c r="UL1" s="129"/>
      <c r="UM1" s="129"/>
      <c r="UN1" s="129"/>
      <c r="UO1" s="129"/>
      <c r="UP1" s="129"/>
      <c r="UQ1" s="129"/>
      <c r="UR1" s="129"/>
      <c r="US1" s="129"/>
      <c r="UT1" s="129"/>
      <c r="UU1" s="129"/>
      <c r="UV1" s="129"/>
      <c r="UW1" s="129"/>
      <c r="UX1" s="129"/>
      <c r="UY1" s="129"/>
      <c r="UZ1" s="129"/>
      <c r="VA1" s="129"/>
      <c r="VB1" s="129"/>
      <c r="VC1" s="129"/>
      <c r="VD1" s="129"/>
      <c r="VE1" s="129"/>
      <c r="VF1" s="129"/>
      <c r="VG1" s="129"/>
      <c r="VH1" s="129"/>
      <c r="VI1" s="129"/>
      <c r="VJ1" s="129"/>
      <c r="VK1" s="129"/>
      <c r="VL1" s="129"/>
      <c r="VM1" s="129"/>
      <c r="VN1" s="129"/>
      <c r="VO1" s="129"/>
      <c r="VP1" s="129"/>
      <c r="VQ1" s="129"/>
      <c r="VR1" s="129"/>
      <c r="VS1" s="129"/>
      <c r="VT1" s="129"/>
      <c r="VU1" s="129"/>
      <c r="VV1" s="129"/>
      <c r="VW1" s="129"/>
      <c r="VX1" s="129"/>
      <c r="VY1" s="129"/>
      <c r="VZ1" s="129"/>
      <c r="WA1" s="129"/>
      <c r="WB1" s="129"/>
      <c r="WC1" s="129"/>
      <c r="WD1" s="129"/>
      <c r="WE1" s="129"/>
      <c r="WF1" s="129"/>
      <c r="WG1" s="129"/>
      <c r="WH1" s="129"/>
      <c r="WI1" s="129"/>
      <c r="WJ1" s="129"/>
      <c r="WK1" s="129"/>
      <c r="WL1" s="129"/>
      <c r="WM1" s="129"/>
      <c r="WN1" s="129"/>
      <c r="WO1" s="129"/>
      <c r="WP1" s="129"/>
      <c r="WQ1" s="129"/>
      <c r="WR1" s="129"/>
      <c r="WS1" s="129"/>
      <c r="WT1" s="129"/>
      <c r="WU1" s="129"/>
      <c r="WV1" s="129"/>
      <c r="WW1" s="129"/>
      <c r="WX1" s="129"/>
      <c r="WY1" s="129"/>
      <c r="WZ1" s="129"/>
      <c r="XA1" s="129"/>
      <c r="XB1" s="129"/>
      <c r="XC1" s="129"/>
      <c r="XD1" s="129"/>
      <c r="XE1" s="129"/>
      <c r="XF1" s="129"/>
      <c r="XG1" s="129"/>
      <c r="XH1" s="129"/>
      <c r="XI1" s="129"/>
      <c r="XJ1" s="129"/>
      <c r="XK1" s="129"/>
      <c r="XL1" s="129"/>
      <c r="XM1" s="129"/>
      <c r="XN1" s="129"/>
      <c r="XO1" s="129"/>
      <c r="XP1" s="129"/>
      <c r="XQ1" s="129"/>
      <c r="XR1" s="129"/>
      <c r="XS1" s="129"/>
      <c r="XT1" s="129"/>
      <c r="XU1" s="129"/>
      <c r="XV1" s="129"/>
      <c r="XW1" s="129"/>
      <c r="XX1" s="129"/>
      <c r="XY1" s="129"/>
      <c r="XZ1" s="129"/>
      <c r="YA1" s="129"/>
      <c r="YB1" s="129"/>
      <c r="YC1" s="129"/>
      <c r="YD1" s="129"/>
      <c r="YE1" s="129"/>
      <c r="YF1" s="129"/>
      <c r="YG1" s="129"/>
      <c r="YH1" s="129"/>
      <c r="YI1" s="129"/>
      <c r="YJ1" s="129"/>
      <c r="YK1" s="129"/>
      <c r="YL1" s="129"/>
      <c r="YM1" s="129"/>
      <c r="YN1" s="129"/>
      <c r="YO1" s="129"/>
      <c r="YP1" s="129"/>
      <c r="YQ1" s="129"/>
      <c r="YR1" s="129"/>
      <c r="YS1" s="129"/>
      <c r="YT1" s="129"/>
      <c r="YU1" s="129"/>
      <c r="YV1" s="129"/>
      <c r="YW1" s="129"/>
      <c r="YX1" s="129"/>
      <c r="YY1" s="129"/>
      <c r="YZ1" s="129"/>
      <c r="ZA1" s="129"/>
      <c r="ZB1" s="129"/>
      <c r="ZC1" s="129"/>
      <c r="ZD1" s="129"/>
      <c r="ZE1" s="129"/>
      <c r="ZF1" s="129"/>
      <c r="ZG1" s="129"/>
      <c r="ZH1" s="129"/>
      <c r="ZI1" s="129"/>
      <c r="ZJ1" s="129"/>
      <c r="ZK1" s="129"/>
      <c r="ZL1" s="129"/>
      <c r="ZM1" s="129"/>
      <c r="ZN1" s="129"/>
      <c r="ZO1" s="129"/>
      <c r="ZP1" s="129"/>
      <c r="ZQ1" s="129"/>
      <c r="ZR1" s="129"/>
      <c r="ZS1" s="129"/>
      <c r="ZT1" s="129"/>
      <c r="ZU1" s="129"/>
      <c r="ZV1" s="129"/>
      <c r="ZW1" s="129"/>
      <c r="ZX1" s="129"/>
      <c r="ZY1" s="129"/>
      <c r="ZZ1" s="129"/>
      <c r="AAA1" s="129"/>
      <c r="AAB1" s="129"/>
      <c r="AAC1" s="129"/>
      <c r="AAD1" s="129"/>
      <c r="AAE1" s="129"/>
      <c r="AAF1" s="129"/>
      <c r="AAG1" s="129"/>
      <c r="AAH1" s="129"/>
    </row>
    <row r="2" spans="1:710" s="133" customFormat="1" ht="74.25" customHeight="1" thickBot="1">
      <c r="A2" s="189"/>
      <c r="B2" s="128" t="s">
        <v>82</v>
      </c>
      <c r="C2" s="128" t="s">
        <v>83</v>
      </c>
      <c r="D2" s="128" t="s">
        <v>19</v>
      </c>
      <c r="E2" s="128" t="s">
        <v>0</v>
      </c>
      <c r="F2" s="197"/>
      <c r="G2" s="189"/>
      <c r="H2" s="189"/>
      <c r="I2" s="189"/>
      <c r="J2" s="189"/>
      <c r="K2" s="189"/>
      <c r="L2" s="128" t="s">
        <v>84</v>
      </c>
      <c r="M2" s="128" t="s">
        <v>83</v>
      </c>
      <c r="N2" s="131" t="s">
        <v>85</v>
      </c>
      <c r="O2" s="195"/>
      <c r="P2" s="189"/>
      <c r="Q2" s="189"/>
      <c r="R2" s="189"/>
      <c r="S2" s="128" t="s">
        <v>94</v>
      </c>
      <c r="T2" s="128" t="s">
        <v>12</v>
      </c>
      <c r="U2" s="189"/>
      <c r="V2" s="128" t="s">
        <v>1</v>
      </c>
      <c r="W2" s="128" t="s">
        <v>15</v>
      </c>
      <c r="X2" s="189"/>
      <c r="Y2" s="189"/>
      <c r="Z2" s="189"/>
      <c r="AA2" s="189"/>
      <c r="AB2" s="189"/>
      <c r="AC2" s="189"/>
      <c r="AD2" s="189"/>
      <c r="AE2" s="128" t="s">
        <v>2</v>
      </c>
      <c r="AF2" s="128" t="s">
        <v>54</v>
      </c>
      <c r="AG2" s="128" t="s">
        <v>55</v>
      </c>
      <c r="AH2" s="128" t="s">
        <v>3</v>
      </c>
      <c r="AI2" s="128" t="s">
        <v>24</v>
      </c>
      <c r="AJ2" s="128" t="s">
        <v>4</v>
      </c>
      <c r="AK2" s="128" t="s">
        <v>23</v>
      </c>
      <c r="AL2" s="128" t="s">
        <v>339</v>
      </c>
      <c r="AM2" s="128" t="s">
        <v>62</v>
      </c>
      <c r="AN2" s="128" t="s">
        <v>32</v>
      </c>
      <c r="AO2" s="128" t="s">
        <v>338</v>
      </c>
      <c r="AP2" s="128" t="s">
        <v>5</v>
      </c>
      <c r="AQ2" s="128" t="s">
        <v>6</v>
      </c>
      <c r="AR2" s="128" t="s">
        <v>7</v>
      </c>
      <c r="AS2" s="128" t="s">
        <v>8</v>
      </c>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c r="DE2" s="132"/>
      <c r="DF2" s="132"/>
      <c r="DG2" s="132"/>
      <c r="DH2" s="132"/>
      <c r="DI2" s="132"/>
      <c r="DJ2" s="132"/>
      <c r="DK2" s="132"/>
      <c r="DL2" s="132"/>
      <c r="DM2" s="132"/>
      <c r="DN2" s="132"/>
      <c r="DO2" s="132"/>
      <c r="DP2" s="132"/>
      <c r="DQ2" s="132"/>
      <c r="DR2" s="132"/>
      <c r="DS2" s="132"/>
      <c r="DT2" s="132"/>
      <c r="DU2" s="132"/>
      <c r="DV2" s="132"/>
      <c r="DW2" s="132"/>
      <c r="DX2" s="132"/>
      <c r="DY2" s="132"/>
      <c r="DZ2" s="132"/>
      <c r="EA2" s="132"/>
      <c r="EB2" s="132"/>
      <c r="EC2" s="132"/>
      <c r="ED2" s="132"/>
      <c r="EE2" s="132"/>
      <c r="EF2" s="132"/>
      <c r="EG2" s="132"/>
      <c r="EH2" s="132"/>
      <c r="EI2" s="132"/>
      <c r="EJ2" s="132"/>
      <c r="EK2" s="132"/>
      <c r="EL2" s="132"/>
      <c r="EM2" s="132"/>
      <c r="EN2" s="132"/>
      <c r="EO2" s="132"/>
      <c r="EP2" s="132"/>
      <c r="EQ2" s="132"/>
      <c r="ER2" s="132"/>
      <c r="ES2" s="132"/>
      <c r="ET2" s="132"/>
      <c r="EU2" s="132"/>
      <c r="EV2" s="132"/>
      <c r="EW2" s="132"/>
      <c r="EX2" s="132"/>
      <c r="EY2" s="132"/>
      <c r="EZ2" s="132"/>
      <c r="FA2" s="132"/>
      <c r="FB2" s="132"/>
      <c r="FC2" s="132"/>
      <c r="FD2" s="132"/>
      <c r="FE2" s="132"/>
      <c r="FF2" s="132"/>
      <c r="FG2" s="132"/>
      <c r="FH2" s="132"/>
      <c r="FI2" s="132"/>
      <c r="FJ2" s="132"/>
      <c r="FK2" s="132"/>
      <c r="FL2" s="132"/>
      <c r="FM2" s="132"/>
      <c r="FN2" s="132"/>
      <c r="FO2" s="132"/>
      <c r="FP2" s="132"/>
      <c r="FQ2" s="132"/>
      <c r="FR2" s="132"/>
      <c r="FS2" s="132"/>
      <c r="FT2" s="132"/>
      <c r="FU2" s="132"/>
      <c r="FV2" s="132"/>
      <c r="FW2" s="132"/>
      <c r="FX2" s="132"/>
      <c r="FY2" s="132"/>
      <c r="FZ2" s="132"/>
      <c r="GA2" s="132"/>
      <c r="GB2" s="132"/>
      <c r="GC2" s="132"/>
      <c r="GD2" s="132"/>
      <c r="GE2" s="132"/>
      <c r="GF2" s="132"/>
      <c r="GG2" s="132"/>
      <c r="GH2" s="132"/>
      <c r="GI2" s="132"/>
      <c r="GJ2" s="132"/>
      <c r="GK2" s="132"/>
      <c r="GL2" s="132"/>
      <c r="GM2" s="132"/>
      <c r="GN2" s="132"/>
      <c r="GO2" s="132"/>
      <c r="GP2" s="132"/>
      <c r="GQ2" s="132"/>
      <c r="GR2" s="132"/>
      <c r="GS2" s="132"/>
      <c r="GT2" s="132"/>
      <c r="GU2" s="132"/>
      <c r="GV2" s="132"/>
      <c r="GW2" s="132"/>
      <c r="GX2" s="132"/>
      <c r="GY2" s="132"/>
      <c r="GZ2" s="132"/>
      <c r="HA2" s="132"/>
      <c r="HB2" s="132"/>
      <c r="HC2" s="132"/>
      <c r="HD2" s="132"/>
      <c r="HE2" s="132"/>
      <c r="HF2" s="132"/>
      <c r="HG2" s="132"/>
      <c r="HH2" s="132"/>
      <c r="HI2" s="132"/>
      <c r="HJ2" s="132"/>
      <c r="HK2" s="132"/>
      <c r="HL2" s="132"/>
      <c r="HM2" s="132"/>
      <c r="HN2" s="132"/>
      <c r="HO2" s="132"/>
      <c r="HP2" s="132"/>
      <c r="HQ2" s="132"/>
      <c r="HR2" s="132"/>
      <c r="HS2" s="132"/>
      <c r="HT2" s="132"/>
      <c r="HU2" s="132"/>
      <c r="HV2" s="132"/>
      <c r="HW2" s="132"/>
      <c r="HX2" s="132"/>
      <c r="HY2" s="132"/>
      <c r="HZ2" s="132"/>
      <c r="IA2" s="132"/>
      <c r="IB2" s="132"/>
      <c r="IC2" s="132"/>
      <c r="ID2" s="132"/>
      <c r="IE2" s="132"/>
      <c r="IF2" s="132"/>
      <c r="IG2" s="132"/>
      <c r="IH2" s="132"/>
      <c r="II2" s="132"/>
      <c r="IJ2" s="132"/>
      <c r="IK2" s="132"/>
      <c r="IL2" s="132"/>
      <c r="IM2" s="132"/>
      <c r="IN2" s="132"/>
      <c r="IO2" s="132"/>
      <c r="IP2" s="132"/>
      <c r="IQ2" s="132"/>
      <c r="IR2" s="132"/>
      <c r="IS2" s="132"/>
      <c r="IT2" s="132"/>
      <c r="IU2" s="132"/>
      <c r="IV2" s="132"/>
      <c r="IW2" s="132"/>
      <c r="IX2" s="132"/>
      <c r="IY2" s="132"/>
      <c r="IZ2" s="132"/>
      <c r="JA2" s="132"/>
      <c r="JB2" s="132"/>
      <c r="JC2" s="132"/>
      <c r="JD2" s="132"/>
      <c r="JE2" s="132"/>
      <c r="JF2" s="132"/>
      <c r="JG2" s="132"/>
      <c r="JH2" s="132"/>
      <c r="JI2" s="132"/>
      <c r="JJ2" s="132"/>
      <c r="JK2" s="132"/>
      <c r="JL2" s="132"/>
      <c r="JM2" s="132"/>
      <c r="JN2" s="132"/>
      <c r="JO2" s="132"/>
      <c r="JP2" s="132"/>
      <c r="JQ2" s="132"/>
      <c r="JR2" s="132"/>
      <c r="JS2" s="132"/>
      <c r="JT2" s="132"/>
      <c r="JU2" s="132"/>
      <c r="JV2" s="132"/>
      <c r="JW2" s="132"/>
      <c r="JX2" s="132"/>
      <c r="JY2" s="132"/>
      <c r="JZ2" s="132"/>
      <c r="KA2" s="132"/>
      <c r="KB2" s="132"/>
      <c r="KC2" s="132"/>
      <c r="KD2" s="132"/>
      <c r="KE2" s="132"/>
      <c r="KF2" s="132"/>
      <c r="KG2" s="132"/>
      <c r="KH2" s="132"/>
      <c r="KI2" s="132"/>
      <c r="KJ2" s="132"/>
      <c r="KK2" s="132"/>
      <c r="KL2" s="132"/>
      <c r="KM2" s="132"/>
      <c r="KN2" s="132"/>
      <c r="KO2" s="132"/>
      <c r="KP2" s="132"/>
      <c r="KQ2" s="132"/>
      <c r="KR2" s="132"/>
      <c r="KS2" s="132"/>
      <c r="KT2" s="132"/>
      <c r="KU2" s="132"/>
      <c r="KV2" s="132"/>
      <c r="KW2" s="132"/>
      <c r="KX2" s="132"/>
      <c r="KY2" s="132"/>
      <c r="KZ2" s="132"/>
      <c r="LA2" s="132"/>
      <c r="LB2" s="132"/>
      <c r="LC2" s="132"/>
      <c r="LD2" s="132"/>
      <c r="LE2" s="132"/>
      <c r="LF2" s="132"/>
      <c r="LG2" s="132"/>
      <c r="LH2" s="132"/>
      <c r="LI2" s="132"/>
      <c r="LJ2" s="132"/>
      <c r="LK2" s="132"/>
      <c r="LL2" s="132"/>
      <c r="LM2" s="132"/>
      <c r="LN2" s="132"/>
      <c r="LO2" s="132"/>
      <c r="LP2" s="132"/>
      <c r="LQ2" s="132"/>
      <c r="LR2" s="132"/>
      <c r="LS2" s="132"/>
      <c r="LT2" s="132"/>
      <c r="LU2" s="132"/>
      <c r="LV2" s="132"/>
      <c r="LW2" s="132"/>
      <c r="LX2" s="132"/>
      <c r="LY2" s="132"/>
      <c r="LZ2" s="132"/>
      <c r="MA2" s="132"/>
      <c r="MB2" s="132"/>
      <c r="MC2" s="132"/>
      <c r="MD2" s="132"/>
      <c r="ME2" s="132"/>
      <c r="MF2" s="132"/>
      <c r="MG2" s="132"/>
      <c r="MH2" s="132"/>
      <c r="MI2" s="132"/>
      <c r="MJ2" s="132"/>
      <c r="MK2" s="132"/>
      <c r="ML2" s="132"/>
      <c r="MM2" s="132"/>
      <c r="MN2" s="132"/>
      <c r="MO2" s="132"/>
      <c r="MP2" s="132"/>
      <c r="MQ2" s="132"/>
      <c r="MR2" s="132"/>
      <c r="MS2" s="132"/>
      <c r="MT2" s="132"/>
      <c r="MU2" s="132"/>
      <c r="MV2" s="132"/>
      <c r="MW2" s="132"/>
      <c r="MX2" s="132"/>
      <c r="MY2" s="132"/>
      <c r="MZ2" s="132"/>
      <c r="NA2" s="132"/>
      <c r="NB2" s="132"/>
      <c r="NC2" s="132"/>
      <c r="ND2" s="132"/>
      <c r="NE2" s="132"/>
      <c r="NF2" s="132"/>
      <c r="NG2" s="132"/>
      <c r="NH2" s="132"/>
      <c r="NI2" s="132"/>
      <c r="NJ2" s="132"/>
      <c r="NK2" s="132"/>
      <c r="NL2" s="132"/>
      <c r="NM2" s="132"/>
      <c r="NN2" s="132"/>
      <c r="NO2" s="132"/>
      <c r="NP2" s="132"/>
      <c r="NQ2" s="132"/>
      <c r="NR2" s="132"/>
      <c r="NS2" s="132"/>
      <c r="NT2" s="132"/>
      <c r="NU2" s="132"/>
      <c r="NV2" s="132"/>
      <c r="NW2" s="132"/>
      <c r="NX2" s="132"/>
      <c r="NY2" s="132"/>
      <c r="NZ2" s="132"/>
      <c r="OA2" s="132"/>
      <c r="OB2" s="132"/>
      <c r="OC2" s="132"/>
      <c r="OD2" s="132"/>
      <c r="OE2" s="132"/>
      <c r="OF2" s="132"/>
      <c r="OG2" s="132"/>
      <c r="OH2" s="132"/>
      <c r="OI2" s="132"/>
      <c r="OJ2" s="132"/>
      <c r="OK2" s="132"/>
      <c r="OL2" s="132"/>
      <c r="OM2" s="132"/>
      <c r="ON2" s="132"/>
      <c r="OO2" s="132"/>
      <c r="OP2" s="132"/>
      <c r="OQ2" s="132"/>
      <c r="OR2" s="132"/>
      <c r="OS2" s="132"/>
      <c r="OT2" s="132"/>
      <c r="OU2" s="132"/>
      <c r="OV2" s="132"/>
      <c r="OW2" s="132"/>
      <c r="OX2" s="132"/>
      <c r="OY2" s="132"/>
      <c r="OZ2" s="132"/>
      <c r="PA2" s="132"/>
      <c r="PB2" s="132"/>
      <c r="PC2" s="132"/>
      <c r="PD2" s="132"/>
      <c r="PE2" s="132"/>
      <c r="PF2" s="132"/>
      <c r="PG2" s="132"/>
      <c r="PH2" s="132"/>
      <c r="PI2" s="132"/>
      <c r="PJ2" s="132"/>
      <c r="PK2" s="132"/>
      <c r="PL2" s="132"/>
      <c r="PM2" s="132"/>
      <c r="PN2" s="132"/>
      <c r="PO2" s="132"/>
      <c r="PP2" s="132"/>
      <c r="PQ2" s="132"/>
      <c r="PR2" s="132"/>
      <c r="PS2" s="132"/>
      <c r="PT2" s="132"/>
      <c r="PU2" s="132"/>
      <c r="PV2" s="132"/>
      <c r="PW2" s="132"/>
      <c r="PX2" s="132"/>
      <c r="PY2" s="132"/>
      <c r="PZ2" s="132"/>
      <c r="QA2" s="132"/>
      <c r="QB2" s="132"/>
      <c r="QC2" s="132"/>
      <c r="QD2" s="132"/>
      <c r="QE2" s="132"/>
      <c r="QF2" s="132"/>
      <c r="QG2" s="132"/>
      <c r="QH2" s="132"/>
      <c r="QI2" s="132"/>
      <c r="QJ2" s="132"/>
      <c r="QK2" s="132"/>
      <c r="QL2" s="132"/>
      <c r="QM2" s="132"/>
      <c r="QN2" s="132"/>
      <c r="QO2" s="132"/>
      <c r="QP2" s="132"/>
      <c r="QQ2" s="132"/>
      <c r="QR2" s="132"/>
      <c r="QS2" s="132"/>
      <c r="QT2" s="132"/>
      <c r="QU2" s="132"/>
      <c r="QV2" s="132"/>
      <c r="QW2" s="132"/>
      <c r="QX2" s="132"/>
      <c r="QY2" s="132"/>
      <c r="QZ2" s="132"/>
      <c r="RA2" s="132"/>
      <c r="RB2" s="132"/>
      <c r="RC2" s="132"/>
      <c r="RD2" s="132"/>
      <c r="RE2" s="132"/>
      <c r="RF2" s="132"/>
      <c r="RG2" s="132"/>
      <c r="RH2" s="132"/>
      <c r="RI2" s="132"/>
      <c r="RJ2" s="132"/>
      <c r="RK2" s="132"/>
      <c r="RL2" s="132"/>
      <c r="RM2" s="132"/>
      <c r="RN2" s="132"/>
      <c r="RO2" s="132"/>
      <c r="RP2" s="132"/>
      <c r="RQ2" s="132"/>
      <c r="RR2" s="132"/>
      <c r="RS2" s="132"/>
      <c r="RT2" s="132"/>
      <c r="RU2" s="132"/>
      <c r="RV2" s="132"/>
      <c r="RW2" s="132"/>
      <c r="RX2" s="132"/>
      <c r="RY2" s="132"/>
      <c r="RZ2" s="132"/>
      <c r="SA2" s="132"/>
      <c r="SB2" s="132"/>
      <c r="SC2" s="132"/>
      <c r="SD2" s="132"/>
      <c r="SE2" s="132"/>
      <c r="SF2" s="132"/>
      <c r="SG2" s="132"/>
      <c r="SH2" s="132"/>
      <c r="SI2" s="132"/>
      <c r="SJ2" s="132"/>
      <c r="SK2" s="132"/>
      <c r="SL2" s="132"/>
      <c r="SM2" s="132"/>
      <c r="SN2" s="132"/>
      <c r="SO2" s="132"/>
      <c r="SP2" s="132"/>
      <c r="SQ2" s="132"/>
      <c r="SR2" s="132"/>
      <c r="SS2" s="132"/>
      <c r="ST2" s="132"/>
      <c r="SU2" s="132"/>
      <c r="SV2" s="132"/>
      <c r="SW2" s="132"/>
      <c r="SX2" s="132"/>
      <c r="SY2" s="132"/>
      <c r="SZ2" s="132"/>
      <c r="TA2" s="132"/>
      <c r="TB2" s="132"/>
      <c r="TC2" s="132"/>
      <c r="TD2" s="132"/>
      <c r="TE2" s="132"/>
      <c r="TF2" s="132"/>
      <c r="TG2" s="132"/>
      <c r="TH2" s="132"/>
      <c r="TI2" s="132"/>
      <c r="TJ2" s="132"/>
      <c r="TK2" s="132"/>
      <c r="TL2" s="132"/>
      <c r="TM2" s="132"/>
      <c r="TN2" s="132"/>
      <c r="TO2" s="132"/>
      <c r="TP2" s="132"/>
      <c r="TQ2" s="132"/>
      <c r="TR2" s="132"/>
      <c r="TS2" s="132"/>
      <c r="TT2" s="132"/>
      <c r="TU2" s="132"/>
      <c r="TV2" s="132"/>
      <c r="TW2" s="132"/>
      <c r="TX2" s="132"/>
      <c r="TY2" s="132"/>
      <c r="TZ2" s="132"/>
      <c r="UA2" s="132"/>
      <c r="UB2" s="132"/>
      <c r="UC2" s="132"/>
      <c r="UD2" s="132"/>
      <c r="UE2" s="132"/>
      <c r="UF2" s="132"/>
      <c r="UG2" s="132"/>
      <c r="UH2" s="132"/>
      <c r="UI2" s="132"/>
      <c r="UJ2" s="132"/>
      <c r="UK2" s="132"/>
      <c r="UL2" s="132"/>
      <c r="UM2" s="132"/>
      <c r="UN2" s="132"/>
      <c r="UO2" s="132"/>
      <c r="UP2" s="132"/>
      <c r="UQ2" s="132"/>
      <c r="UR2" s="132"/>
      <c r="US2" s="132"/>
      <c r="UT2" s="132"/>
      <c r="UU2" s="132"/>
      <c r="UV2" s="132"/>
      <c r="UW2" s="132"/>
      <c r="UX2" s="132"/>
      <c r="UY2" s="132"/>
      <c r="UZ2" s="132"/>
      <c r="VA2" s="132"/>
      <c r="VB2" s="132"/>
      <c r="VC2" s="132"/>
      <c r="VD2" s="132"/>
      <c r="VE2" s="132"/>
      <c r="VF2" s="132"/>
      <c r="VG2" s="132"/>
      <c r="VH2" s="132"/>
      <c r="VI2" s="132"/>
      <c r="VJ2" s="132"/>
      <c r="VK2" s="132"/>
      <c r="VL2" s="132"/>
      <c r="VM2" s="132"/>
      <c r="VN2" s="132"/>
      <c r="VO2" s="132"/>
      <c r="VP2" s="132"/>
      <c r="VQ2" s="132"/>
      <c r="VR2" s="132"/>
      <c r="VS2" s="132"/>
      <c r="VT2" s="132"/>
      <c r="VU2" s="132"/>
      <c r="VV2" s="132"/>
      <c r="VW2" s="132"/>
      <c r="VX2" s="132"/>
      <c r="VY2" s="132"/>
      <c r="VZ2" s="132"/>
      <c r="WA2" s="132"/>
      <c r="WB2" s="132"/>
      <c r="WC2" s="132"/>
      <c r="WD2" s="132"/>
      <c r="WE2" s="132"/>
      <c r="WF2" s="132"/>
      <c r="WG2" s="132"/>
      <c r="WH2" s="132"/>
      <c r="WI2" s="132"/>
      <c r="WJ2" s="132"/>
      <c r="WK2" s="132"/>
      <c r="WL2" s="132"/>
      <c r="WM2" s="132"/>
      <c r="WN2" s="132"/>
      <c r="WO2" s="132"/>
      <c r="WP2" s="132"/>
      <c r="WQ2" s="132"/>
      <c r="WR2" s="132"/>
      <c r="WS2" s="132"/>
      <c r="WT2" s="132"/>
      <c r="WU2" s="132"/>
      <c r="WV2" s="132"/>
      <c r="WW2" s="132"/>
      <c r="WX2" s="132"/>
      <c r="WY2" s="132"/>
      <c r="WZ2" s="132"/>
      <c r="XA2" s="132"/>
      <c r="XB2" s="132"/>
      <c r="XC2" s="132"/>
      <c r="XD2" s="132"/>
      <c r="XE2" s="132"/>
      <c r="XF2" s="132"/>
      <c r="XG2" s="132"/>
      <c r="XH2" s="132"/>
      <c r="XI2" s="132"/>
      <c r="XJ2" s="132"/>
      <c r="XK2" s="132"/>
      <c r="XL2" s="132"/>
      <c r="XM2" s="132"/>
      <c r="XN2" s="132"/>
      <c r="XO2" s="132"/>
      <c r="XP2" s="132"/>
      <c r="XQ2" s="132"/>
      <c r="XR2" s="132"/>
      <c r="XS2" s="132"/>
      <c r="XT2" s="132"/>
      <c r="XU2" s="132"/>
      <c r="XV2" s="132"/>
      <c r="XW2" s="132"/>
      <c r="XX2" s="132"/>
      <c r="XY2" s="132"/>
      <c r="XZ2" s="132"/>
      <c r="YA2" s="132"/>
      <c r="YB2" s="132"/>
      <c r="YC2" s="132"/>
      <c r="YD2" s="132"/>
      <c r="YE2" s="132"/>
      <c r="YF2" s="132"/>
      <c r="YG2" s="132"/>
      <c r="YH2" s="132"/>
      <c r="YI2" s="132"/>
      <c r="YJ2" s="132"/>
      <c r="YK2" s="132"/>
      <c r="YL2" s="132"/>
      <c r="YM2" s="132"/>
      <c r="YN2" s="132"/>
      <c r="YO2" s="132"/>
      <c r="YP2" s="132"/>
      <c r="YQ2" s="132"/>
      <c r="YR2" s="132"/>
      <c r="YS2" s="132"/>
      <c r="YT2" s="132"/>
      <c r="YU2" s="132"/>
      <c r="YV2" s="132"/>
      <c r="YW2" s="132"/>
      <c r="YX2" s="132"/>
      <c r="YY2" s="132"/>
      <c r="YZ2" s="132"/>
      <c r="ZA2" s="132"/>
      <c r="ZB2" s="132"/>
      <c r="ZC2" s="132"/>
      <c r="ZD2" s="132"/>
      <c r="ZE2" s="132"/>
      <c r="ZF2" s="132"/>
      <c r="ZG2" s="132"/>
      <c r="ZH2" s="132"/>
      <c r="ZI2" s="132"/>
      <c r="ZJ2" s="132"/>
      <c r="ZK2" s="132"/>
      <c r="ZL2" s="132"/>
      <c r="ZM2" s="132"/>
      <c r="ZN2" s="132"/>
      <c r="ZO2" s="132"/>
      <c r="ZP2" s="132"/>
      <c r="ZQ2" s="132"/>
      <c r="ZR2" s="132"/>
      <c r="ZS2" s="132"/>
      <c r="ZT2" s="132"/>
      <c r="ZU2" s="132"/>
      <c r="ZV2" s="132"/>
      <c r="ZW2" s="132"/>
      <c r="ZX2" s="132"/>
      <c r="ZY2" s="132"/>
      <c r="ZZ2" s="132"/>
      <c r="AAA2" s="132"/>
      <c r="AAB2" s="132"/>
      <c r="AAC2" s="132"/>
      <c r="AAD2" s="132"/>
      <c r="AAE2" s="132"/>
      <c r="AAF2" s="132"/>
      <c r="AAG2" s="132"/>
      <c r="AAH2" s="132"/>
    </row>
    <row r="3" spans="1:710" ht="87" customHeight="1">
      <c r="A3" s="121" t="s">
        <v>97</v>
      </c>
      <c r="B3" s="122">
        <v>3</v>
      </c>
      <c r="C3" s="123" t="s">
        <v>37</v>
      </c>
      <c r="D3" s="124">
        <v>1</v>
      </c>
      <c r="E3" s="124"/>
      <c r="F3" s="123" t="s">
        <v>98</v>
      </c>
      <c r="G3" s="134" t="s">
        <v>99</v>
      </c>
      <c r="H3" s="123" t="s">
        <v>74</v>
      </c>
      <c r="I3" s="123" t="s">
        <v>75</v>
      </c>
      <c r="J3" s="123" t="s">
        <v>100</v>
      </c>
      <c r="K3" s="125" t="s">
        <v>101</v>
      </c>
      <c r="L3" s="126" t="s">
        <v>102</v>
      </c>
      <c r="M3" s="127" t="s">
        <v>39</v>
      </c>
      <c r="N3" s="122">
        <v>2025</v>
      </c>
      <c r="O3" s="123" t="s">
        <v>76</v>
      </c>
      <c r="P3" s="123">
        <v>4</v>
      </c>
      <c r="Q3" s="123">
        <v>14</v>
      </c>
      <c r="R3" s="123" t="s">
        <v>96</v>
      </c>
      <c r="S3" s="123">
        <v>1</v>
      </c>
      <c r="T3" s="123"/>
      <c r="U3" s="123" t="s">
        <v>87</v>
      </c>
      <c r="V3" s="123">
        <v>1</v>
      </c>
      <c r="W3" s="123"/>
      <c r="X3" s="124" t="s">
        <v>104</v>
      </c>
      <c r="Y3" s="124" t="s">
        <v>170</v>
      </c>
      <c r="Z3" s="123"/>
      <c r="AA3" s="123" t="s">
        <v>57</v>
      </c>
      <c r="AB3" s="124" t="s">
        <v>76</v>
      </c>
      <c r="AC3" s="124" t="s">
        <v>103</v>
      </c>
      <c r="AD3" s="123" t="s">
        <v>77</v>
      </c>
      <c r="AE3" s="124"/>
      <c r="AF3" s="124"/>
      <c r="AG3" s="124"/>
      <c r="AH3" s="124"/>
      <c r="AI3" s="124">
        <v>1</v>
      </c>
      <c r="AJ3" s="124"/>
      <c r="AK3" s="124"/>
      <c r="AL3" s="124"/>
      <c r="AM3" s="124"/>
      <c r="AN3" s="124"/>
      <c r="AO3" s="124"/>
      <c r="AP3" s="124"/>
      <c r="AQ3" s="124"/>
      <c r="AR3" s="124"/>
      <c r="AS3" s="124"/>
    </row>
    <row r="4" spans="1:710" ht="96" customHeight="1">
      <c r="A4" s="38" t="s">
        <v>105</v>
      </c>
      <c r="B4" s="39">
        <v>10</v>
      </c>
      <c r="C4" s="40" t="s">
        <v>37</v>
      </c>
      <c r="D4" s="41"/>
      <c r="E4" s="41">
        <v>1</v>
      </c>
      <c r="F4" s="40" t="s">
        <v>72</v>
      </c>
      <c r="G4" s="135" t="s">
        <v>106</v>
      </c>
      <c r="H4" s="40" t="s">
        <v>72</v>
      </c>
      <c r="I4" s="40" t="s">
        <v>75</v>
      </c>
      <c r="J4" s="40" t="s">
        <v>107</v>
      </c>
      <c r="K4" s="42" t="s">
        <v>108</v>
      </c>
      <c r="L4" s="43" t="s">
        <v>109</v>
      </c>
      <c r="M4" s="44" t="s">
        <v>48</v>
      </c>
      <c r="N4" s="39">
        <v>2025</v>
      </c>
      <c r="O4" s="40" t="s">
        <v>76</v>
      </c>
      <c r="P4" s="40">
        <v>3</v>
      </c>
      <c r="Q4" s="40">
        <v>25</v>
      </c>
      <c r="R4" s="40" t="s">
        <v>110</v>
      </c>
      <c r="S4" s="40">
        <v>1</v>
      </c>
      <c r="T4" s="40"/>
      <c r="U4" s="40"/>
      <c r="V4" s="40">
        <v>1</v>
      </c>
      <c r="W4" s="40"/>
      <c r="X4" s="41" t="s">
        <v>111</v>
      </c>
      <c r="Y4" s="41" t="s">
        <v>169</v>
      </c>
      <c r="Z4" s="40"/>
      <c r="AA4" s="40" t="s">
        <v>57</v>
      </c>
      <c r="AB4" s="41" t="s">
        <v>76</v>
      </c>
      <c r="AC4" s="41"/>
      <c r="AD4" s="40" t="s">
        <v>112</v>
      </c>
      <c r="AE4" s="41"/>
      <c r="AF4" s="41"/>
      <c r="AG4" s="41">
        <v>1</v>
      </c>
      <c r="AH4" s="41"/>
      <c r="AI4" s="41"/>
      <c r="AJ4" s="41"/>
      <c r="AK4" s="41"/>
      <c r="AL4" s="41"/>
      <c r="AM4" s="41"/>
      <c r="AN4" s="41"/>
      <c r="AO4" s="41" t="s">
        <v>113</v>
      </c>
      <c r="AP4" s="41" t="s">
        <v>114</v>
      </c>
      <c r="AQ4" s="41"/>
      <c r="AR4" s="41"/>
      <c r="AS4" s="41"/>
    </row>
    <row r="5" spans="1:710" ht="74.099999999999994" customHeight="1">
      <c r="A5" s="30" t="s">
        <v>115</v>
      </c>
      <c r="B5" s="31">
        <v>28</v>
      </c>
      <c r="C5" s="32" t="s">
        <v>37</v>
      </c>
      <c r="D5" s="33"/>
      <c r="E5" s="33">
        <v>1</v>
      </c>
      <c r="F5" s="32" t="s">
        <v>71</v>
      </c>
      <c r="G5" s="136" t="s">
        <v>116</v>
      </c>
      <c r="H5" s="32" t="s">
        <v>71</v>
      </c>
      <c r="I5" s="32" t="s">
        <v>75</v>
      </c>
      <c r="J5" s="32" t="s">
        <v>117</v>
      </c>
      <c r="K5" s="34" t="s">
        <v>118</v>
      </c>
      <c r="L5" s="35">
        <v>13</v>
      </c>
      <c r="M5" s="36" t="s">
        <v>39</v>
      </c>
      <c r="N5" s="31">
        <v>2025</v>
      </c>
      <c r="O5" s="32" t="s">
        <v>76</v>
      </c>
      <c r="P5" s="32">
        <v>0</v>
      </c>
      <c r="Q5" s="32">
        <v>50</v>
      </c>
      <c r="R5" s="32" t="s">
        <v>96</v>
      </c>
      <c r="S5" s="32">
        <v>1</v>
      </c>
      <c r="T5" s="32"/>
      <c r="U5" s="32"/>
      <c r="V5" s="32">
        <v>1</v>
      </c>
      <c r="W5" s="32"/>
      <c r="X5" s="33"/>
      <c r="Y5" s="33" t="s">
        <v>168</v>
      </c>
      <c r="Z5" s="32"/>
      <c r="AA5" s="32" t="s">
        <v>236</v>
      </c>
      <c r="AB5" s="33" t="s">
        <v>76</v>
      </c>
      <c r="AC5" s="33" t="s">
        <v>119</v>
      </c>
      <c r="AD5" s="32" t="s">
        <v>112</v>
      </c>
      <c r="AE5" s="33"/>
      <c r="AF5" s="33"/>
      <c r="AG5" s="33"/>
      <c r="AH5" s="33"/>
      <c r="AI5" s="33"/>
      <c r="AJ5" s="33"/>
      <c r="AK5" s="33"/>
      <c r="AL5" s="33"/>
      <c r="AM5" s="33"/>
      <c r="AN5" s="33"/>
      <c r="AO5" s="33"/>
      <c r="AP5" s="33"/>
      <c r="AQ5" s="33"/>
      <c r="AR5" s="33"/>
      <c r="AS5" s="33"/>
    </row>
    <row r="6" spans="1:710" ht="81" customHeight="1">
      <c r="A6" s="37" t="s">
        <v>120</v>
      </c>
      <c r="B6" s="23">
        <v>29</v>
      </c>
      <c r="C6" s="24" t="s">
        <v>37</v>
      </c>
      <c r="D6" s="25">
        <v>1</v>
      </c>
      <c r="E6" s="25"/>
      <c r="F6" s="24" t="s">
        <v>64</v>
      </c>
      <c r="G6" s="137" t="s">
        <v>121</v>
      </c>
      <c r="H6" s="24" t="s">
        <v>64</v>
      </c>
      <c r="I6" s="24" t="s">
        <v>75</v>
      </c>
      <c r="J6" s="24" t="s">
        <v>122</v>
      </c>
      <c r="K6" s="27" t="s">
        <v>123</v>
      </c>
      <c r="L6" s="28" t="s">
        <v>124</v>
      </c>
      <c r="M6" s="29" t="s">
        <v>39</v>
      </c>
      <c r="N6" s="23">
        <v>2026</v>
      </c>
      <c r="O6" s="24" t="s">
        <v>76</v>
      </c>
      <c r="P6" s="24">
        <v>0</v>
      </c>
      <c r="Q6" s="24">
        <v>100</v>
      </c>
      <c r="R6" s="24" t="s">
        <v>96</v>
      </c>
      <c r="S6" s="24">
        <v>1</v>
      </c>
      <c r="T6" s="24"/>
      <c r="U6" s="24" t="s">
        <v>125</v>
      </c>
      <c r="V6" s="24">
        <v>1</v>
      </c>
      <c r="W6" s="24">
        <v>1</v>
      </c>
      <c r="X6" s="25" t="s">
        <v>126</v>
      </c>
      <c r="Y6" s="25" t="s">
        <v>171</v>
      </c>
      <c r="Z6" s="24" t="s">
        <v>125</v>
      </c>
      <c r="AA6" s="24" t="s">
        <v>237</v>
      </c>
      <c r="AB6" s="25" t="s">
        <v>76</v>
      </c>
      <c r="AC6" s="25" t="s">
        <v>127</v>
      </c>
      <c r="AD6" s="24" t="s">
        <v>77</v>
      </c>
      <c r="AE6" s="25"/>
      <c r="AF6" s="25"/>
      <c r="AG6" s="25"/>
      <c r="AH6" s="25"/>
      <c r="AI6" s="25"/>
      <c r="AJ6" s="25"/>
      <c r="AK6" s="25"/>
      <c r="AL6" s="25"/>
      <c r="AM6" s="25"/>
      <c r="AN6" s="25"/>
      <c r="AO6" s="25"/>
      <c r="AP6" s="25"/>
      <c r="AQ6" s="25"/>
      <c r="AR6" s="25"/>
      <c r="AS6" s="25"/>
    </row>
    <row r="7" spans="1:710" ht="74.099999999999994" customHeight="1">
      <c r="A7" s="38" t="s">
        <v>128</v>
      </c>
      <c r="B7" s="39">
        <v>11</v>
      </c>
      <c r="C7" s="40" t="s">
        <v>38</v>
      </c>
      <c r="D7" s="41"/>
      <c r="E7" s="41">
        <v>1</v>
      </c>
      <c r="F7" s="40" t="s">
        <v>64</v>
      </c>
      <c r="G7" s="138" t="s">
        <v>129</v>
      </c>
      <c r="H7" s="40" t="s">
        <v>64</v>
      </c>
      <c r="I7" s="40" t="s">
        <v>130</v>
      </c>
      <c r="J7" s="40" t="s">
        <v>131</v>
      </c>
      <c r="K7" s="42" t="s">
        <v>132</v>
      </c>
      <c r="L7" s="43" t="s">
        <v>133</v>
      </c>
      <c r="M7" s="44" t="s">
        <v>41</v>
      </c>
      <c r="N7" s="39">
        <v>2025</v>
      </c>
      <c r="O7" s="40" t="s">
        <v>76</v>
      </c>
      <c r="P7" s="40">
        <v>2</v>
      </c>
      <c r="Q7" s="40">
        <v>12</v>
      </c>
      <c r="R7" s="40" t="s">
        <v>96</v>
      </c>
      <c r="S7" s="40"/>
      <c r="T7" s="40">
        <v>1</v>
      </c>
      <c r="U7" s="40"/>
      <c r="V7" s="40">
        <v>1</v>
      </c>
      <c r="W7" s="40">
        <v>1</v>
      </c>
      <c r="X7" s="41"/>
      <c r="Y7" s="41" t="s">
        <v>169</v>
      </c>
      <c r="Z7" s="40"/>
      <c r="AA7" s="40" t="s">
        <v>57</v>
      </c>
      <c r="AB7" s="41" t="s">
        <v>76</v>
      </c>
      <c r="AC7" s="41" t="s">
        <v>134</v>
      </c>
      <c r="AD7" s="40" t="s">
        <v>112</v>
      </c>
      <c r="AE7" s="41"/>
      <c r="AF7" s="41"/>
      <c r="AG7" s="41"/>
      <c r="AH7" s="41"/>
      <c r="AI7" s="41">
        <v>1</v>
      </c>
      <c r="AJ7" s="41">
        <v>1</v>
      </c>
      <c r="AK7" s="41"/>
      <c r="AL7" s="41"/>
      <c r="AM7" s="41"/>
      <c r="AN7" s="41"/>
      <c r="AO7" s="41"/>
      <c r="AP7" s="41"/>
      <c r="AQ7" s="41"/>
      <c r="AR7" s="41"/>
      <c r="AS7" s="41">
        <v>1</v>
      </c>
    </row>
    <row r="8" spans="1:710" ht="90" customHeight="1">
      <c r="A8" s="30" t="s">
        <v>135</v>
      </c>
      <c r="B8" s="31">
        <v>12</v>
      </c>
      <c r="C8" s="32" t="s">
        <v>38</v>
      </c>
      <c r="D8" s="33"/>
      <c r="E8" s="33">
        <v>1</v>
      </c>
      <c r="F8" s="32" t="s">
        <v>71</v>
      </c>
      <c r="G8" s="136" t="s">
        <v>136</v>
      </c>
      <c r="H8" s="32" t="s">
        <v>64</v>
      </c>
      <c r="I8" s="32" t="s">
        <v>75</v>
      </c>
      <c r="J8" s="32" t="s">
        <v>137</v>
      </c>
      <c r="K8" s="34" t="s">
        <v>138</v>
      </c>
      <c r="L8" s="35">
        <v>20</v>
      </c>
      <c r="M8" s="36" t="s">
        <v>45</v>
      </c>
      <c r="N8" s="31">
        <v>2025</v>
      </c>
      <c r="O8" s="32" t="s">
        <v>76</v>
      </c>
      <c r="P8" s="32">
        <v>0</v>
      </c>
      <c r="Q8" s="32">
        <v>150</v>
      </c>
      <c r="R8" s="32" t="s">
        <v>96</v>
      </c>
      <c r="S8" s="32">
        <v>1</v>
      </c>
      <c r="T8" s="32"/>
      <c r="U8" s="32" t="s">
        <v>125</v>
      </c>
      <c r="V8" s="32">
        <v>1</v>
      </c>
      <c r="W8" s="32"/>
      <c r="X8" s="33" t="s">
        <v>139</v>
      </c>
      <c r="Y8" s="33" t="s">
        <v>170</v>
      </c>
      <c r="Z8" s="32"/>
      <c r="AA8" s="32" t="s">
        <v>239</v>
      </c>
      <c r="AB8" s="33" t="s">
        <v>76</v>
      </c>
      <c r="AC8" s="33"/>
      <c r="AD8" s="32" t="s">
        <v>77</v>
      </c>
      <c r="AE8" s="33"/>
      <c r="AF8" s="33"/>
      <c r="AG8" s="33"/>
      <c r="AH8" s="33"/>
      <c r="AI8" s="33"/>
      <c r="AJ8" s="33"/>
      <c r="AK8" s="33"/>
      <c r="AL8" s="33"/>
      <c r="AM8" s="33"/>
      <c r="AN8" s="33"/>
      <c r="AO8" s="33"/>
      <c r="AP8" s="33"/>
      <c r="AQ8" s="33"/>
      <c r="AR8" s="33"/>
      <c r="AS8" s="33"/>
    </row>
    <row r="9" spans="1:710" ht="74.099999999999994" customHeight="1">
      <c r="A9" s="46" t="s">
        <v>140</v>
      </c>
      <c r="B9" s="47">
        <v>14</v>
      </c>
      <c r="C9" s="48" t="s">
        <v>38</v>
      </c>
      <c r="D9" s="49"/>
      <c r="E9" s="49">
        <v>1</v>
      </c>
      <c r="F9" s="48" t="s">
        <v>71</v>
      </c>
      <c r="G9" s="139" t="s">
        <v>145</v>
      </c>
      <c r="H9" s="48" t="s">
        <v>74</v>
      </c>
      <c r="I9" s="48" t="s">
        <v>75</v>
      </c>
      <c r="J9" s="48" t="s">
        <v>141</v>
      </c>
      <c r="K9" s="50" t="s">
        <v>142</v>
      </c>
      <c r="L9" s="51" t="s">
        <v>143</v>
      </c>
      <c r="M9" s="52" t="s">
        <v>144</v>
      </c>
      <c r="N9" s="47">
        <v>2025</v>
      </c>
      <c r="O9" s="48" t="s">
        <v>153</v>
      </c>
      <c r="P9" s="48">
        <v>1</v>
      </c>
      <c r="Q9" s="48">
        <v>85</v>
      </c>
      <c r="R9" s="48" t="s">
        <v>96</v>
      </c>
      <c r="S9" s="48">
        <v>1</v>
      </c>
      <c r="T9" s="48"/>
      <c r="U9" s="48"/>
      <c r="V9" s="48">
        <v>1</v>
      </c>
      <c r="W9" s="48"/>
      <c r="X9" s="49"/>
      <c r="Y9" s="49" t="s">
        <v>179</v>
      </c>
      <c r="Z9" s="48"/>
      <c r="AA9" s="48" t="s">
        <v>59</v>
      </c>
      <c r="AB9" s="49" t="s">
        <v>76</v>
      </c>
      <c r="AC9" s="49" t="s">
        <v>181</v>
      </c>
      <c r="AD9" s="48" t="s">
        <v>112</v>
      </c>
      <c r="AE9" s="49"/>
      <c r="AF9" s="49"/>
      <c r="AG9" s="49">
        <v>1</v>
      </c>
      <c r="AH9" s="49"/>
      <c r="AI9" s="49">
        <v>1</v>
      </c>
      <c r="AJ9" s="49">
        <v>1</v>
      </c>
      <c r="AK9" s="49"/>
      <c r="AL9" s="49"/>
      <c r="AM9" s="49"/>
      <c r="AN9" s="49"/>
      <c r="AO9" s="49"/>
      <c r="AP9" s="49"/>
      <c r="AQ9" s="49"/>
      <c r="AR9" s="49"/>
      <c r="AS9" s="49"/>
    </row>
    <row r="10" spans="1:710" ht="74.099999999999994" customHeight="1">
      <c r="A10" s="38" t="s">
        <v>146</v>
      </c>
      <c r="B10" s="39">
        <v>19</v>
      </c>
      <c r="C10" s="40" t="s">
        <v>156</v>
      </c>
      <c r="D10" s="41">
        <v>1</v>
      </c>
      <c r="E10" s="41"/>
      <c r="F10" s="40" t="s">
        <v>71</v>
      </c>
      <c r="G10" s="138" t="s">
        <v>147</v>
      </c>
      <c r="H10" s="40" t="s">
        <v>148</v>
      </c>
      <c r="I10" s="40" t="s">
        <v>149</v>
      </c>
      <c r="J10" s="40" t="s">
        <v>150</v>
      </c>
      <c r="K10" s="40" t="s">
        <v>151</v>
      </c>
      <c r="L10" s="53" t="s">
        <v>186</v>
      </c>
      <c r="M10" s="44" t="s">
        <v>152</v>
      </c>
      <c r="N10" s="39">
        <v>2026</v>
      </c>
      <c r="O10" s="40" t="s">
        <v>153</v>
      </c>
      <c r="P10" s="40">
        <v>3</v>
      </c>
      <c r="Q10" s="40">
        <v>140</v>
      </c>
      <c r="R10" s="40" t="s">
        <v>155</v>
      </c>
      <c r="S10" s="40"/>
      <c r="T10" s="40">
        <v>1</v>
      </c>
      <c r="U10" s="40"/>
      <c r="V10" s="40">
        <v>1</v>
      </c>
      <c r="W10" s="40"/>
      <c r="X10" s="41"/>
      <c r="Y10" s="41" t="s">
        <v>205</v>
      </c>
      <c r="Z10" s="40"/>
      <c r="AA10" s="40" t="s">
        <v>57</v>
      </c>
      <c r="AB10" s="41" t="s">
        <v>76</v>
      </c>
      <c r="AC10" s="41" t="s">
        <v>180</v>
      </c>
      <c r="AD10" s="40" t="s">
        <v>154</v>
      </c>
      <c r="AE10" s="41"/>
      <c r="AF10" s="41"/>
      <c r="AG10" s="41">
        <v>1</v>
      </c>
      <c r="AH10" s="41"/>
      <c r="AI10" s="41">
        <v>1</v>
      </c>
      <c r="AJ10" s="41"/>
      <c r="AK10" s="41"/>
      <c r="AL10" s="41"/>
      <c r="AM10" s="41"/>
      <c r="AN10" s="41">
        <v>1</v>
      </c>
      <c r="AO10" s="41"/>
      <c r="AP10" s="41"/>
      <c r="AQ10" s="41"/>
      <c r="AR10" s="41"/>
      <c r="AS10" s="41"/>
    </row>
    <row r="11" spans="1:710" ht="74.099999999999994" customHeight="1">
      <c r="A11" s="22" t="s">
        <v>157</v>
      </c>
      <c r="B11" s="23">
        <v>26</v>
      </c>
      <c r="C11" s="24" t="s">
        <v>156</v>
      </c>
      <c r="D11" s="25"/>
      <c r="E11" s="25">
        <v>1</v>
      </c>
      <c r="F11" s="24" t="s">
        <v>71</v>
      </c>
      <c r="G11" s="137" t="s">
        <v>158</v>
      </c>
      <c r="H11" s="24" t="s">
        <v>64</v>
      </c>
      <c r="I11" s="24" t="s">
        <v>75</v>
      </c>
      <c r="J11" s="26" t="s">
        <v>160</v>
      </c>
      <c r="K11" s="27" t="s">
        <v>159</v>
      </c>
      <c r="L11" s="28"/>
      <c r="M11" s="29" t="s">
        <v>162</v>
      </c>
      <c r="N11" s="23">
        <v>2025</v>
      </c>
      <c r="O11" s="24" t="s">
        <v>76</v>
      </c>
      <c r="P11" s="24">
        <v>1</v>
      </c>
      <c r="Q11" s="24">
        <v>6</v>
      </c>
      <c r="R11" s="24" t="s">
        <v>96</v>
      </c>
      <c r="S11" s="24"/>
      <c r="T11" s="24">
        <v>1</v>
      </c>
      <c r="U11" s="24" t="s">
        <v>161</v>
      </c>
      <c r="V11" s="24">
        <v>1</v>
      </c>
      <c r="W11" s="24">
        <v>1</v>
      </c>
      <c r="X11" s="25" t="s">
        <v>163</v>
      </c>
      <c r="Y11" s="24"/>
      <c r="Z11" s="24"/>
      <c r="AA11" s="24" t="s">
        <v>95</v>
      </c>
      <c r="AB11" s="25" t="s">
        <v>76</v>
      </c>
      <c r="AC11" s="25"/>
      <c r="AD11" s="24" t="s">
        <v>154</v>
      </c>
      <c r="AE11" s="25">
        <v>1</v>
      </c>
      <c r="AF11" s="25">
        <v>1</v>
      </c>
      <c r="AG11" s="25">
        <v>1</v>
      </c>
      <c r="AH11" s="25"/>
      <c r="AI11" s="25">
        <v>1</v>
      </c>
      <c r="AJ11" s="25"/>
      <c r="AK11" s="25"/>
      <c r="AL11" s="25"/>
      <c r="AM11" s="25"/>
      <c r="AN11" s="25">
        <v>1</v>
      </c>
      <c r="AO11" s="25"/>
      <c r="AP11" s="25"/>
      <c r="AQ11" s="25"/>
      <c r="AR11" s="25"/>
      <c r="AS11" s="25"/>
    </row>
    <row r="12" spans="1:710" ht="74.099999999999994" customHeight="1">
      <c r="A12" s="30" t="s">
        <v>164</v>
      </c>
      <c r="B12" s="31">
        <v>4</v>
      </c>
      <c r="C12" s="32" t="s">
        <v>162</v>
      </c>
      <c r="D12" s="33"/>
      <c r="E12" s="33">
        <v>1</v>
      </c>
      <c r="F12" s="32" t="s">
        <v>71</v>
      </c>
      <c r="G12" s="136" t="s">
        <v>203</v>
      </c>
      <c r="H12" s="32" t="s">
        <v>64</v>
      </c>
      <c r="I12" s="32" t="s">
        <v>149</v>
      </c>
      <c r="J12" s="32" t="s">
        <v>165</v>
      </c>
      <c r="K12" s="34" t="s">
        <v>166</v>
      </c>
      <c r="L12" s="35">
        <v>16</v>
      </c>
      <c r="M12" s="36" t="s">
        <v>167</v>
      </c>
      <c r="N12" s="31">
        <v>2025</v>
      </c>
      <c r="O12" s="32" t="s">
        <v>76</v>
      </c>
      <c r="P12" s="32">
        <v>0</v>
      </c>
      <c r="Q12" s="32">
        <v>30</v>
      </c>
      <c r="R12" s="32" t="s">
        <v>96</v>
      </c>
      <c r="S12" s="32">
        <v>1</v>
      </c>
      <c r="T12" s="32"/>
      <c r="U12" s="32"/>
      <c r="V12" s="32"/>
      <c r="W12" s="32">
        <v>1</v>
      </c>
      <c r="X12" s="33"/>
      <c r="Y12" s="33" t="s">
        <v>204</v>
      </c>
      <c r="Z12" s="32"/>
      <c r="AA12" s="32" t="s">
        <v>236</v>
      </c>
      <c r="AB12" s="33" t="s">
        <v>76</v>
      </c>
      <c r="AC12" s="33"/>
      <c r="AD12" s="32" t="s">
        <v>154</v>
      </c>
      <c r="AE12" s="33"/>
      <c r="AF12" s="33"/>
      <c r="AG12" s="33"/>
      <c r="AH12" s="33"/>
      <c r="AI12" s="33"/>
      <c r="AJ12" s="33"/>
      <c r="AK12" s="33"/>
      <c r="AL12" s="33"/>
      <c r="AM12" s="33"/>
      <c r="AN12" s="33"/>
      <c r="AO12" s="33"/>
      <c r="AP12" s="33"/>
      <c r="AQ12" s="33"/>
      <c r="AR12" s="33"/>
      <c r="AS12" s="33"/>
    </row>
    <row r="13" spans="1:710" ht="74.099999999999994" customHeight="1">
      <c r="A13" s="30" t="s">
        <v>172</v>
      </c>
      <c r="B13" s="31">
        <v>6</v>
      </c>
      <c r="C13" s="32" t="s">
        <v>162</v>
      </c>
      <c r="D13" s="33"/>
      <c r="E13" s="33">
        <v>1</v>
      </c>
      <c r="F13" s="32" t="s">
        <v>71</v>
      </c>
      <c r="G13" s="140" t="s">
        <v>173</v>
      </c>
      <c r="H13" s="32" t="s">
        <v>64</v>
      </c>
      <c r="I13" s="32" t="s">
        <v>75</v>
      </c>
      <c r="J13" s="32" t="s">
        <v>174</v>
      </c>
      <c r="K13" s="34" t="s">
        <v>175</v>
      </c>
      <c r="L13" s="35">
        <v>21</v>
      </c>
      <c r="M13" s="36" t="s">
        <v>39</v>
      </c>
      <c r="N13" s="31">
        <v>2025</v>
      </c>
      <c r="O13" s="32" t="s">
        <v>76</v>
      </c>
      <c r="P13" s="32">
        <v>0</v>
      </c>
      <c r="Q13" s="32" t="s">
        <v>176</v>
      </c>
      <c r="R13" s="32" t="s">
        <v>177</v>
      </c>
      <c r="S13" s="32">
        <v>1</v>
      </c>
      <c r="T13" s="32"/>
      <c r="U13" s="32"/>
      <c r="V13" s="32">
        <v>1</v>
      </c>
      <c r="W13" s="32"/>
      <c r="X13" s="33"/>
      <c r="Y13" s="32"/>
      <c r="Z13" s="32"/>
      <c r="AA13" s="32" t="s">
        <v>236</v>
      </c>
      <c r="AB13" s="33" t="s">
        <v>76</v>
      </c>
      <c r="AC13" s="33" t="s">
        <v>178</v>
      </c>
      <c r="AD13" s="32" t="s">
        <v>112</v>
      </c>
      <c r="AE13" s="33"/>
      <c r="AF13" s="33"/>
      <c r="AG13" s="33"/>
      <c r="AH13" s="33"/>
      <c r="AI13" s="33"/>
      <c r="AJ13" s="33"/>
      <c r="AK13" s="33"/>
      <c r="AL13" s="33"/>
      <c r="AM13" s="33"/>
      <c r="AN13" s="33"/>
      <c r="AO13" s="33"/>
      <c r="AP13" s="33"/>
      <c r="AQ13" s="33"/>
      <c r="AR13" s="33"/>
      <c r="AS13" s="33"/>
    </row>
    <row r="14" spans="1:710" ht="165.75" customHeight="1">
      <c r="A14" s="81" t="s">
        <v>182</v>
      </c>
      <c r="B14" s="82">
        <v>23</v>
      </c>
      <c r="C14" s="83" t="s">
        <v>46</v>
      </c>
      <c r="D14" s="84"/>
      <c r="E14" s="84">
        <v>1</v>
      </c>
      <c r="F14" s="83" t="s">
        <v>71</v>
      </c>
      <c r="G14" s="143" t="s">
        <v>183</v>
      </c>
      <c r="H14" s="83" t="s">
        <v>64</v>
      </c>
      <c r="I14" s="83" t="s">
        <v>75</v>
      </c>
      <c r="J14" s="85" t="s">
        <v>185</v>
      </c>
      <c r="K14" s="85" t="s">
        <v>184</v>
      </c>
      <c r="L14" s="87" t="s">
        <v>143</v>
      </c>
      <c r="M14" s="86" t="s">
        <v>37</v>
      </c>
      <c r="N14" s="82">
        <v>2026</v>
      </c>
      <c r="O14" s="83" t="s">
        <v>76</v>
      </c>
      <c r="P14" s="83">
        <v>1</v>
      </c>
      <c r="Q14" s="83" t="s">
        <v>187</v>
      </c>
      <c r="R14" s="83" t="s">
        <v>96</v>
      </c>
      <c r="S14" s="83">
        <v>1</v>
      </c>
      <c r="T14" s="83">
        <v>1</v>
      </c>
      <c r="U14" s="83" t="s">
        <v>188</v>
      </c>
      <c r="V14" s="83">
        <v>1</v>
      </c>
      <c r="W14" s="83">
        <v>1</v>
      </c>
      <c r="X14" s="84" t="s">
        <v>189</v>
      </c>
      <c r="Y14" s="84" t="s">
        <v>204</v>
      </c>
      <c r="Z14" s="83"/>
      <c r="AA14" s="83" t="s">
        <v>68</v>
      </c>
      <c r="AB14" s="84" t="s">
        <v>76</v>
      </c>
      <c r="AC14" s="84" t="s">
        <v>477</v>
      </c>
      <c r="AD14" s="83" t="s">
        <v>112</v>
      </c>
      <c r="AE14" s="84"/>
      <c r="AF14" s="84"/>
      <c r="AG14" s="84">
        <v>1</v>
      </c>
      <c r="AH14" s="84"/>
      <c r="AI14" s="84">
        <v>1</v>
      </c>
      <c r="AJ14" s="84"/>
      <c r="AK14" s="84"/>
      <c r="AL14" s="84"/>
      <c r="AM14" s="84"/>
      <c r="AN14" s="84">
        <v>1</v>
      </c>
      <c r="AO14" s="84"/>
      <c r="AP14" s="84"/>
      <c r="AQ14" s="84"/>
      <c r="AR14" s="84"/>
      <c r="AS14" s="84"/>
    </row>
    <row r="15" spans="1:710" ht="232.5" customHeight="1">
      <c r="A15" s="38" t="s">
        <v>190</v>
      </c>
      <c r="B15" s="39">
        <v>14</v>
      </c>
      <c r="C15" s="40" t="s">
        <v>162</v>
      </c>
      <c r="D15" s="41">
        <v>1</v>
      </c>
      <c r="E15" s="41"/>
      <c r="F15" s="40" t="s">
        <v>71</v>
      </c>
      <c r="G15" s="135" t="s">
        <v>191</v>
      </c>
      <c r="H15" s="40" t="s">
        <v>148</v>
      </c>
      <c r="I15" s="40" t="s">
        <v>75</v>
      </c>
      <c r="J15" s="40" t="s">
        <v>192</v>
      </c>
      <c r="K15" s="42" t="s">
        <v>159</v>
      </c>
      <c r="L15" s="53" t="s">
        <v>193</v>
      </c>
      <c r="M15" s="44" t="s">
        <v>45</v>
      </c>
      <c r="N15" s="39">
        <v>2025</v>
      </c>
      <c r="O15" s="40" t="s">
        <v>76</v>
      </c>
      <c r="P15" s="40">
        <v>2</v>
      </c>
      <c r="Q15" s="40">
        <v>70</v>
      </c>
      <c r="R15" s="40" t="s">
        <v>96</v>
      </c>
      <c r="S15" s="40">
        <v>1</v>
      </c>
      <c r="T15" s="40">
        <v>1</v>
      </c>
      <c r="U15" s="40"/>
      <c r="V15" s="40">
        <v>1</v>
      </c>
      <c r="W15" s="40"/>
      <c r="X15" s="41" t="s">
        <v>194</v>
      </c>
      <c r="Y15" s="41" t="s">
        <v>204</v>
      </c>
      <c r="Z15" s="40"/>
      <c r="AA15" s="40" t="s">
        <v>57</v>
      </c>
      <c r="AB15" s="41" t="s">
        <v>76</v>
      </c>
      <c r="AC15" s="41" t="s">
        <v>213</v>
      </c>
      <c r="AD15" s="40" t="s">
        <v>112</v>
      </c>
      <c r="AE15" s="41"/>
      <c r="AF15" s="41">
        <v>1</v>
      </c>
      <c r="AG15" s="41"/>
      <c r="AH15" s="41"/>
      <c r="AI15" s="41"/>
      <c r="AJ15" s="41"/>
      <c r="AK15" s="41"/>
      <c r="AL15" s="41"/>
      <c r="AM15" s="41"/>
      <c r="AN15" s="41"/>
      <c r="AO15" s="41"/>
      <c r="AP15" s="41"/>
      <c r="AQ15" s="41"/>
      <c r="AR15" s="41"/>
      <c r="AS15" s="41"/>
    </row>
    <row r="16" spans="1:710" ht="74.099999999999994" customHeight="1">
      <c r="A16" s="54" t="s">
        <v>199</v>
      </c>
      <c r="B16" s="55">
        <v>17</v>
      </c>
      <c r="C16" s="56" t="s">
        <v>162</v>
      </c>
      <c r="D16" s="57">
        <v>1</v>
      </c>
      <c r="E16" s="57"/>
      <c r="F16" s="56" t="s">
        <v>64</v>
      </c>
      <c r="G16" s="141" t="s">
        <v>200</v>
      </c>
      <c r="H16" s="56" t="s">
        <v>64</v>
      </c>
      <c r="I16" s="56" t="s">
        <v>75</v>
      </c>
      <c r="J16" s="56" t="s">
        <v>195</v>
      </c>
      <c r="K16" s="58" t="s">
        <v>196</v>
      </c>
      <c r="L16" s="59" t="s">
        <v>197</v>
      </c>
      <c r="M16" s="60" t="s">
        <v>152</v>
      </c>
      <c r="N16" s="55">
        <v>2026</v>
      </c>
      <c r="O16" s="56" t="s">
        <v>76</v>
      </c>
      <c r="P16" s="56">
        <v>3</v>
      </c>
      <c r="Q16" s="56">
        <v>28</v>
      </c>
      <c r="R16" s="56" t="s">
        <v>96</v>
      </c>
      <c r="S16" s="56">
        <v>1</v>
      </c>
      <c r="T16" s="56">
        <v>1</v>
      </c>
      <c r="U16" s="56" t="s">
        <v>198</v>
      </c>
      <c r="V16" s="56">
        <v>1</v>
      </c>
      <c r="W16" s="56">
        <v>1</v>
      </c>
      <c r="X16" s="57" t="s">
        <v>201</v>
      </c>
      <c r="Y16" s="57" t="s">
        <v>204</v>
      </c>
      <c r="Z16" s="56" t="s">
        <v>76</v>
      </c>
      <c r="AA16" s="56" t="s">
        <v>59</v>
      </c>
      <c r="AB16" s="57" t="s">
        <v>76</v>
      </c>
      <c r="AC16" s="57"/>
      <c r="AD16" s="56" t="s">
        <v>112</v>
      </c>
      <c r="AE16" s="57"/>
      <c r="AF16" s="57"/>
      <c r="AG16" s="57"/>
      <c r="AH16" s="57">
        <v>1</v>
      </c>
      <c r="AI16" s="57"/>
      <c r="AJ16" s="57"/>
      <c r="AK16" s="57"/>
      <c r="AL16" s="57"/>
      <c r="AM16" s="57"/>
      <c r="AN16" s="57">
        <v>1</v>
      </c>
      <c r="AO16" s="57"/>
      <c r="AP16" s="57">
        <v>1</v>
      </c>
      <c r="AQ16" s="57"/>
      <c r="AR16" s="57"/>
      <c r="AS16" s="57"/>
    </row>
    <row r="17" spans="1:45" ht="97.5" customHeight="1">
      <c r="A17" s="38" t="s">
        <v>214</v>
      </c>
      <c r="B17" s="39">
        <v>23</v>
      </c>
      <c r="C17" s="40" t="s">
        <v>162</v>
      </c>
      <c r="D17" s="41"/>
      <c r="E17" s="41">
        <v>1</v>
      </c>
      <c r="F17" s="40" t="s">
        <v>31</v>
      </c>
      <c r="G17" s="135" t="s">
        <v>206</v>
      </c>
      <c r="H17" s="40" t="s">
        <v>74</v>
      </c>
      <c r="I17" s="40" t="s">
        <v>75</v>
      </c>
      <c r="J17" s="40" t="s">
        <v>207</v>
      </c>
      <c r="K17" s="42" t="s">
        <v>208</v>
      </c>
      <c r="L17" s="53"/>
      <c r="M17" s="44" t="s">
        <v>40</v>
      </c>
      <c r="N17" s="39">
        <v>2026</v>
      </c>
      <c r="O17" s="40" t="s">
        <v>76</v>
      </c>
      <c r="P17" s="40">
        <v>4</v>
      </c>
      <c r="Q17" s="40" t="s">
        <v>209</v>
      </c>
      <c r="R17" s="40" t="s">
        <v>210</v>
      </c>
      <c r="S17" s="40">
        <v>1</v>
      </c>
      <c r="T17" s="40">
        <v>1</v>
      </c>
      <c r="U17" s="41" t="s">
        <v>211</v>
      </c>
      <c r="V17" s="40">
        <v>1</v>
      </c>
      <c r="W17" s="40"/>
      <c r="X17" s="41"/>
      <c r="Y17" s="41" t="s">
        <v>240</v>
      </c>
      <c r="Z17" s="40"/>
      <c r="AA17" s="40" t="s">
        <v>57</v>
      </c>
      <c r="AB17" s="41" t="s">
        <v>212</v>
      </c>
      <c r="AC17" s="41"/>
      <c r="AD17" s="40" t="s">
        <v>112</v>
      </c>
      <c r="AE17" s="41">
        <v>1</v>
      </c>
      <c r="AF17" s="41">
        <v>1</v>
      </c>
      <c r="AG17" s="41">
        <v>1</v>
      </c>
      <c r="AH17" s="41"/>
      <c r="AI17" s="41">
        <v>1</v>
      </c>
      <c r="AJ17" s="41"/>
      <c r="AK17" s="41"/>
      <c r="AL17" s="41"/>
      <c r="AM17" s="41"/>
      <c r="AN17" s="41"/>
      <c r="AO17" s="41"/>
      <c r="AP17" s="41"/>
      <c r="AQ17" s="41"/>
      <c r="AR17" s="41"/>
      <c r="AS17" s="41"/>
    </row>
    <row r="18" spans="1:45" ht="74.099999999999994" customHeight="1">
      <c r="A18" s="46" t="s">
        <v>216</v>
      </c>
      <c r="B18" s="47">
        <v>2</v>
      </c>
      <c r="C18" s="48" t="s">
        <v>40</v>
      </c>
      <c r="D18" s="49">
        <v>1</v>
      </c>
      <c r="E18" s="49"/>
      <c r="F18" s="48" t="s">
        <v>64</v>
      </c>
      <c r="G18" s="139" t="s">
        <v>218</v>
      </c>
      <c r="H18" s="48" t="s">
        <v>64</v>
      </c>
      <c r="I18" s="48" t="s">
        <v>75</v>
      </c>
      <c r="J18" s="48" t="s">
        <v>219</v>
      </c>
      <c r="K18" s="50" t="s">
        <v>220</v>
      </c>
      <c r="L18" s="51" t="s">
        <v>217</v>
      </c>
      <c r="M18" s="52" t="s">
        <v>39</v>
      </c>
      <c r="N18" s="47">
        <v>2026</v>
      </c>
      <c r="O18" s="48" t="s">
        <v>76</v>
      </c>
      <c r="P18" s="48">
        <v>1</v>
      </c>
      <c r="Q18" s="48">
        <v>190</v>
      </c>
      <c r="R18" s="48" t="s">
        <v>243</v>
      </c>
      <c r="S18" s="48">
        <v>1</v>
      </c>
      <c r="T18" s="48">
        <v>1</v>
      </c>
      <c r="U18" s="48" t="s">
        <v>221</v>
      </c>
      <c r="V18" s="48">
        <v>1</v>
      </c>
      <c r="W18" s="48"/>
      <c r="X18" s="49"/>
      <c r="Y18" s="49" t="s">
        <v>241</v>
      </c>
      <c r="Z18" s="48" t="s">
        <v>76</v>
      </c>
      <c r="AA18" s="48" t="s">
        <v>59</v>
      </c>
      <c r="AB18" s="49" t="s">
        <v>76</v>
      </c>
      <c r="AC18" s="49"/>
      <c r="AD18" s="48" t="s">
        <v>112</v>
      </c>
      <c r="AE18" s="49"/>
      <c r="AF18" s="49">
        <v>1</v>
      </c>
      <c r="AG18" s="49">
        <v>1</v>
      </c>
      <c r="AH18" s="49"/>
      <c r="AI18" s="49">
        <v>1</v>
      </c>
      <c r="AJ18" s="49"/>
      <c r="AK18" s="49"/>
      <c r="AL18" s="49"/>
      <c r="AM18" s="49"/>
      <c r="AN18" s="49"/>
      <c r="AO18" s="49"/>
      <c r="AP18" s="49"/>
      <c r="AQ18" s="49"/>
      <c r="AR18" s="49"/>
      <c r="AS18" s="49"/>
    </row>
    <row r="19" spans="1:45" ht="74.099999999999994" customHeight="1">
      <c r="A19" s="54" t="s">
        <v>222</v>
      </c>
      <c r="B19" s="55">
        <v>3</v>
      </c>
      <c r="C19" s="56" t="s">
        <v>40</v>
      </c>
      <c r="D19" s="57">
        <v>1</v>
      </c>
      <c r="E19" s="57"/>
      <c r="F19" s="56" t="s">
        <v>31</v>
      </c>
      <c r="G19" s="142" t="s">
        <v>223</v>
      </c>
      <c r="H19" s="56" t="s">
        <v>74</v>
      </c>
      <c r="I19" s="56" t="s">
        <v>75</v>
      </c>
      <c r="J19" s="56" t="s">
        <v>224</v>
      </c>
      <c r="K19" s="58" t="s">
        <v>225</v>
      </c>
      <c r="L19" s="80" t="s">
        <v>226</v>
      </c>
      <c r="M19" s="60" t="s">
        <v>39</v>
      </c>
      <c r="N19" s="55">
        <v>2026</v>
      </c>
      <c r="O19" s="56" t="s">
        <v>76</v>
      </c>
      <c r="P19" s="56">
        <v>2</v>
      </c>
      <c r="Q19" s="56">
        <v>18</v>
      </c>
      <c r="R19" s="56" t="s">
        <v>243</v>
      </c>
      <c r="S19" s="56">
        <v>1</v>
      </c>
      <c r="T19" s="56"/>
      <c r="U19" s="57" t="s">
        <v>227</v>
      </c>
      <c r="V19" s="56">
        <v>1</v>
      </c>
      <c r="W19" s="56">
        <v>1</v>
      </c>
      <c r="X19" s="57" t="s">
        <v>228</v>
      </c>
      <c r="Y19" s="57" t="s">
        <v>242</v>
      </c>
      <c r="Z19" s="56" t="s">
        <v>76</v>
      </c>
      <c r="AA19" s="56" t="s">
        <v>59</v>
      </c>
      <c r="AB19" s="57" t="s">
        <v>76</v>
      </c>
      <c r="AC19" s="57"/>
      <c r="AD19" s="56" t="s">
        <v>112</v>
      </c>
      <c r="AE19" s="57"/>
      <c r="AF19" s="57"/>
      <c r="AG19" s="57">
        <v>1</v>
      </c>
      <c r="AH19" s="57">
        <v>1</v>
      </c>
      <c r="AI19" s="57">
        <v>1</v>
      </c>
      <c r="AJ19" s="57"/>
      <c r="AK19" s="57"/>
      <c r="AL19" s="57"/>
      <c r="AM19" s="57"/>
      <c r="AN19" s="57"/>
      <c r="AO19" s="57">
        <v>1</v>
      </c>
      <c r="AP19" s="57">
        <v>1</v>
      </c>
      <c r="AQ19" s="57"/>
      <c r="AR19" s="57"/>
      <c r="AS19" s="57"/>
    </row>
    <row r="20" spans="1:45" ht="74.099999999999994" customHeight="1">
      <c r="A20" s="38" t="s">
        <v>229</v>
      </c>
      <c r="B20" s="39">
        <v>3</v>
      </c>
      <c r="C20" s="40" t="s">
        <v>40</v>
      </c>
      <c r="D20" s="41"/>
      <c r="E20" s="41">
        <v>1</v>
      </c>
      <c r="F20" s="40" t="s">
        <v>71</v>
      </c>
      <c r="G20" s="135" t="s">
        <v>230</v>
      </c>
      <c r="H20" s="40" t="s">
        <v>64</v>
      </c>
      <c r="I20" s="40" t="s">
        <v>130</v>
      </c>
      <c r="J20" s="40" t="s">
        <v>231</v>
      </c>
      <c r="K20" s="42" t="s">
        <v>232</v>
      </c>
      <c r="L20" s="43">
        <v>19</v>
      </c>
      <c r="M20" s="44" t="s">
        <v>42</v>
      </c>
      <c r="N20" s="39">
        <v>2025</v>
      </c>
      <c r="O20" s="40" t="s">
        <v>76</v>
      </c>
      <c r="P20" s="40">
        <v>0</v>
      </c>
      <c r="Q20" s="40">
        <v>150</v>
      </c>
      <c r="R20" s="40" t="s">
        <v>96</v>
      </c>
      <c r="S20" s="40"/>
      <c r="T20" s="40">
        <v>1</v>
      </c>
      <c r="U20" s="41" t="s">
        <v>202</v>
      </c>
      <c r="V20" s="40">
        <v>1</v>
      </c>
      <c r="W20" s="40">
        <v>1</v>
      </c>
      <c r="X20" s="41" t="s">
        <v>233</v>
      </c>
      <c r="Y20" s="41" t="s">
        <v>242</v>
      </c>
      <c r="Z20" s="40"/>
      <c r="AA20" s="40" t="s">
        <v>238</v>
      </c>
      <c r="AB20" s="41" t="s">
        <v>76</v>
      </c>
      <c r="AC20" s="41" t="s">
        <v>244</v>
      </c>
      <c r="AD20" s="40" t="s">
        <v>112</v>
      </c>
      <c r="AE20" s="41"/>
      <c r="AF20" s="41"/>
      <c r="AG20" s="41"/>
      <c r="AH20" s="41"/>
      <c r="AI20" s="41"/>
      <c r="AJ20" s="41"/>
      <c r="AK20" s="41"/>
      <c r="AL20" s="41"/>
      <c r="AM20" s="41"/>
      <c r="AN20" s="41"/>
      <c r="AO20" s="41"/>
      <c r="AP20" s="41"/>
      <c r="AQ20" s="41"/>
      <c r="AR20" s="41"/>
      <c r="AS20" s="41"/>
    </row>
    <row r="21" spans="1:45" ht="74.099999999999994" customHeight="1">
      <c r="A21" s="38" t="s">
        <v>245</v>
      </c>
      <c r="B21" s="39">
        <v>22</v>
      </c>
      <c r="C21" s="40" t="s">
        <v>167</v>
      </c>
      <c r="D21" s="41">
        <v>1</v>
      </c>
      <c r="E21" s="41"/>
      <c r="F21" s="40" t="s">
        <v>64</v>
      </c>
      <c r="G21" s="135" t="s">
        <v>246</v>
      </c>
      <c r="H21" s="40" t="s">
        <v>64</v>
      </c>
      <c r="I21" s="40" t="s">
        <v>130</v>
      </c>
      <c r="J21" s="40" t="s">
        <v>247</v>
      </c>
      <c r="K21" s="42" t="s">
        <v>251</v>
      </c>
      <c r="L21" s="53" t="s">
        <v>248</v>
      </c>
      <c r="M21" s="44" t="s">
        <v>42</v>
      </c>
      <c r="N21" s="39">
        <v>2025</v>
      </c>
      <c r="O21" s="40" t="s">
        <v>153</v>
      </c>
      <c r="P21" s="40">
        <v>2</v>
      </c>
      <c r="Q21" s="40">
        <v>220</v>
      </c>
      <c r="R21" s="40" t="s">
        <v>243</v>
      </c>
      <c r="S21" s="40"/>
      <c r="T21" s="40">
        <v>1</v>
      </c>
      <c r="U21" s="41" t="s">
        <v>250</v>
      </c>
      <c r="V21" s="40">
        <v>1</v>
      </c>
      <c r="W21" s="40"/>
      <c r="X21" s="41" t="s">
        <v>249</v>
      </c>
      <c r="Y21" s="41" t="s">
        <v>300</v>
      </c>
      <c r="Z21" s="40" t="s">
        <v>76</v>
      </c>
      <c r="AA21" s="40" t="s">
        <v>57</v>
      </c>
      <c r="AB21" s="41" t="s">
        <v>252</v>
      </c>
      <c r="AC21" s="41"/>
      <c r="AD21" s="40" t="s">
        <v>112</v>
      </c>
      <c r="AE21" s="41"/>
      <c r="AF21" s="41">
        <v>1</v>
      </c>
      <c r="AG21" s="41">
        <v>1</v>
      </c>
      <c r="AH21" s="41"/>
      <c r="AI21" s="41"/>
      <c r="AJ21" s="41"/>
      <c r="AK21" s="41"/>
      <c r="AL21" s="41"/>
      <c r="AM21" s="41"/>
      <c r="AN21" s="41"/>
      <c r="AO21" s="41"/>
      <c r="AP21" s="41"/>
      <c r="AQ21" s="41"/>
      <c r="AR21" s="41"/>
      <c r="AS21" s="41"/>
    </row>
    <row r="22" spans="1:45" ht="172.5" customHeight="1">
      <c r="A22" s="46" t="s">
        <v>259</v>
      </c>
      <c r="B22" s="47">
        <v>23</v>
      </c>
      <c r="C22" s="48" t="s">
        <v>40</v>
      </c>
      <c r="D22" s="49">
        <v>1</v>
      </c>
      <c r="E22" s="49"/>
      <c r="F22" s="48" t="s">
        <v>64</v>
      </c>
      <c r="G22" s="139" t="s">
        <v>253</v>
      </c>
      <c r="H22" s="48" t="s">
        <v>64</v>
      </c>
      <c r="I22" s="48" t="s">
        <v>75</v>
      </c>
      <c r="J22" s="48" t="s">
        <v>254</v>
      </c>
      <c r="K22" s="50" t="s">
        <v>255</v>
      </c>
      <c r="L22" s="88" t="s">
        <v>256</v>
      </c>
      <c r="M22" s="52" t="s">
        <v>45</v>
      </c>
      <c r="N22" s="47">
        <v>2025</v>
      </c>
      <c r="O22" s="48" t="s">
        <v>153</v>
      </c>
      <c r="P22" s="48">
        <v>23</v>
      </c>
      <c r="Q22" s="48">
        <v>54</v>
      </c>
      <c r="R22" s="48" t="s">
        <v>243</v>
      </c>
      <c r="S22" s="48"/>
      <c r="T22" s="48">
        <v>1</v>
      </c>
      <c r="U22" s="49" t="s">
        <v>257</v>
      </c>
      <c r="V22" s="48">
        <v>1</v>
      </c>
      <c r="W22" s="48"/>
      <c r="X22" s="49" t="s">
        <v>258</v>
      </c>
      <c r="Y22" s="49" t="s">
        <v>291</v>
      </c>
      <c r="Z22" s="48" t="s">
        <v>76</v>
      </c>
      <c r="AA22" s="48" t="s">
        <v>59</v>
      </c>
      <c r="AB22" s="49" t="s">
        <v>76</v>
      </c>
      <c r="AC22" s="49" t="s">
        <v>292</v>
      </c>
      <c r="AD22" s="48" t="s">
        <v>112</v>
      </c>
      <c r="AE22" s="49"/>
      <c r="AF22" s="49"/>
      <c r="AG22" s="49">
        <v>1</v>
      </c>
      <c r="AH22" s="49"/>
      <c r="AI22" s="49" t="s">
        <v>266</v>
      </c>
      <c r="AJ22" s="49"/>
      <c r="AK22" s="49"/>
      <c r="AL22" s="49"/>
      <c r="AM22" s="49"/>
      <c r="AN22" s="49"/>
      <c r="AO22" s="49"/>
      <c r="AP22" s="49"/>
      <c r="AQ22" s="49"/>
      <c r="AR22" s="49"/>
      <c r="AS22" s="49"/>
    </row>
    <row r="23" spans="1:45" ht="173.25" customHeight="1">
      <c r="A23" s="30" t="s">
        <v>260</v>
      </c>
      <c r="B23" s="31">
        <v>24</v>
      </c>
      <c r="C23" s="32" t="s">
        <v>40</v>
      </c>
      <c r="D23" s="33"/>
      <c r="E23" s="33">
        <v>1</v>
      </c>
      <c r="F23" s="32" t="s">
        <v>71</v>
      </c>
      <c r="G23" s="136" t="s">
        <v>261</v>
      </c>
      <c r="H23" s="32" t="s">
        <v>64</v>
      </c>
      <c r="I23" s="33" t="s">
        <v>273</v>
      </c>
      <c r="J23" s="98" t="s">
        <v>275</v>
      </c>
      <c r="K23" s="98" t="s">
        <v>274</v>
      </c>
      <c r="L23" s="99" t="s">
        <v>262</v>
      </c>
      <c r="M23" s="36" t="s">
        <v>48</v>
      </c>
      <c r="N23" s="31">
        <v>2025</v>
      </c>
      <c r="O23" s="32" t="s">
        <v>153</v>
      </c>
      <c r="P23" s="32">
        <v>4</v>
      </c>
      <c r="Q23" s="32" t="s">
        <v>263</v>
      </c>
      <c r="R23" s="33" t="s">
        <v>243</v>
      </c>
      <c r="S23" s="32"/>
      <c r="T23" s="32">
        <v>1</v>
      </c>
      <c r="U23" s="33" t="s">
        <v>265</v>
      </c>
      <c r="V23" s="32"/>
      <c r="W23" s="32"/>
      <c r="X23" s="33" t="s">
        <v>264</v>
      </c>
      <c r="Y23" s="33" t="s">
        <v>300</v>
      </c>
      <c r="Z23" s="32" t="s">
        <v>76</v>
      </c>
      <c r="AA23" s="32" t="s">
        <v>58</v>
      </c>
      <c r="AB23" s="33" t="s">
        <v>76</v>
      </c>
      <c r="AC23" s="33"/>
      <c r="AD23" s="32" t="s">
        <v>112</v>
      </c>
      <c r="AE23" s="33"/>
      <c r="AF23" s="33"/>
      <c r="AG23" s="33">
        <v>1</v>
      </c>
      <c r="AH23" s="33"/>
      <c r="AI23" s="33">
        <v>1</v>
      </c>
      <c r="AJ23" s="33"/>
      <c r="AK23" s="33"/>
      <c r="AL23" s="33"/>
      <c r="AM23" s="33"/>
      <c r="AN23" s="33"/>
      <c r="AO23" s="33"/>
      <c r="AP23" s="33"/>
      <c r="AQ23" s="33"/>
      <c r="AR23" s="33"/>
      <c r="AS23" s="33"/>
    </row>
    <row r="24" spans="1:45" ht="173.25" customHeight="1">
      <c r="A24" s="38" t="s">
        <v>267</v>
      </c>
      <c r="B24" s="39">
        <v>24</v>
      </c>
      <c r="C24" s="40" t="s">
        <v>167</v>
      </c>
      <c r="D24" s="41">
        <v>1</v>
      </c>
      <c r="E24" s="41"/>
      <c r="F24" s="40" t="s">
        <v>31</v>
      </c>
      <c r="G24" s="135" t="s">
        <v>268</v>
      </c>
      <c r="H24" s="40" t="s">
        <v>74</v>
      </c>
      <c r="I24" s="40" t="s">
        <v>75</v>
      </c>
      <c r="J24" s="40" t="s">
        <v>269</v>
      </c>
      <c r="K24" s="42" t="s">
        <v>270</v>
      </c>
      <c r="L24" s="53" t="s">
        <v>271</v>
      </c>
      <c r="M24" s="44" t="s">
        <v>38</v>
      </c>
      <c r="N24" s="39">
        <v>2026</v>
      </c>
      <c r="O24" s="40" t="s">
        <v>153</v>
      </c>
      <c r="P24" s="40">
        <v>3</v>
      </c>
      <c r="Q24" s="40">
        <v>100</v>
      </c>
      <c r="R24" s="41" t="s">
        <v>210</v>
      </c>
      <c r="S24" s="40"/>
      <c r="T24" s="40">
        <v>1</v>
      </c>
      <c r="U24" s="41" t="s">
        <v>272</v>
      </c>
      <c r="V24" s="40">
        <v>1</v>
      </c>
      <c r="W24" s="40"/>
      <c r="X24" s="41"/>
      <c r="Y24" s="41" t="s">
        <v>300</v>
      </c>
      <c r="Z24" s="40" t="s">
        <v>76</v>
      </c>
      <c r="AA24" s="40" t="s">
        <v>57</v>
      </c>
      <c r="AB24" s="41" t="s">
        <v>76</v>
      </c>
      <c r="AC24" s="41"/>
      <c r="AD24" s="40" t="s">
        <v>112</v>
      </c>
      <c r="AE24" s="41"/>
      <c r="AF24" s="41"/>
      <c r="AG24" s="41">
        <v>1</v>
      </c>
      <c r="AH24" s="41"/>
      <c r="AI24" s="41"/>
      <c r="AJ24" s="41"/>
      <c r="AK24" s="41"/>
      <c r="AL24" s="41"/>
      <c r="AM24" s="41"/>
      <c r="AN24" s="41"/>
      <c r="AO24" s="41">
        <v>1</v>
      </c>
      <c r="AP24" s="41"/>
      <c r="AQ24" s="41"/>
      <c r="AR24" s="41"/>
      <c r="AS24" s="41"/>
    </row>
    <row r="25" spans="1:45" ht="79.5" customHeight="1">
      <c r="A25" s="38" t="s">
        <v>276</v>
      </c>
      <c r="B25" s="39">
        <v>28</v>
      </c>
      <c r="C25" s="40" t="s">
        <v>167</v>
      </c>
      <c r="D25" s="41"/>
      <c r="E25" s="41">
        <v>1</v>
      </c>
      <c r="F25" s="40" t="s">
        <v>71</v>
      </c>
      <c r="G25" s="135" t="s">
        <v>277</v>
      </c>
      <c r="H25" s="40" t="s">
        <v>64</v>
      </c>
      <c r="I25" s="40" t="s">
        <v>75</v>
      </c>
      <c r="J25" s="40" t="s">
        <v>278</v>
      </c>
      <c r="K25" s="42" t="s">
        <v>279</v>
      </c>
      <c r="L25" s="53" t="s">
        <v>280</v>
      </c>
      <c r="M25" s="44" t="s">
        <v>47</v>
      </c>
      <c r="N25" s="39">
        <v>2025</v>
      </c>
      <c r="O25" s="40" t="s">
        <v>153</v>
      </c>
      <c r="P25" s="40">
        <v>3</v>
      </c>
      <c r="Q25" s="40" t="s">
        <v>281</v>
      </c>
      <c r="R25" s="41" t="s">
        <v>96</v>
      </c>
      <c r="S25" s="40"/>
      <c r="T25" s="40">
        <v>1</v>
      </c>
      <c r="U25" s="41" t="s">
        <v>282</v>
      </c>
      <c r="V25" s="40">
        <v>1</v>
      </c>
      <c r="W25" s="40"/>
      <c r="X25" s="41" t="s">
        <v>283</v>
      </c>
      <c r="Y25" s="41" t="s">
        <v>301</v>
      </c>
      <c r="Z25" s="40" t="s">
        <v>76</v>
      </c>
      <c r="AA25" s="40" t="s">
        <v>57</v>
      </c>
      <c r="AB25" s="41" t="s">
        <v>76</v>
      </c>
      <c r="AC25" s="41"/>
      <c r="AD25" s="40" t="s">
        <v>112</v>
      </c>
      <c r="AE25" s="41"/>
      <c r="AF25" s="41"/>
      <c r="AG25" s="41">
        <v>1</v>
      </c>
      <c r="AH25" s="41"/>
      <c r="AI25" s="41">
        <v>1</v>
      </c>
      <c r="AJ25" s="41"/>
      <c r="AK25" s="41"/>
      <c r="AL25" s="41"/>
      <c r="AM25" s="41"/>
      <c r="AN25" s="41">
        <v>1</v>
      </c>
      <c r="AO25" s="41"/>
      <c r="AP25" s="41"/>
      <c r="AQ25" s="41"/>
      <c r="AR25" s="41"/>
      <c r="AS25" s="41"/>
    </row>
    <row r="26" spans="1:45" ht="85.5" customHeight="1">
      <c r="A26" s="100" t="s">
        <v>284</v>
      </c>
      <c r="B26" s="39">
        <v>25</v>
      </c>
      <c r="C26" s="40" t="s">
        <v>40</v>
      </c>
      <c r="D26" s="41">
        <v>1</v>
      </c>
      <c r="E26" s="41"/>
      <c r="F26" s="40" t="s">
        <v>64</v>
      </c>
      <c r="G26" s="135" t="s">
        <v>290</v>
      </c>
      <c r="H26" s="40" t="s">
        <v>64</v>
      </c>
      <c r="I26" s="40" t="s">
        <v>75</v>
      </c>
      <c r="J26" s="40" t="s">
        <v>285</v>
      </c>
      <c r="K26" s="40" t="s">
        <v>286</v>
      </c>
      <c r="L26" s="101" t="s">
        <v>289</v>
      </c>
      <c r="M26" s="44" t="s">
        <v>38</v>
      </c>
      <c r="N26" s="39">
        <v>2026</v>
      </c>
      <c r="O26" s="40" t="s">
        <v>153</v>
      </c>
      <c r="P26" s="40">
        <v>7</v>
      </c>
      <c r="Q26" s="40">
        <v>114</v>
      </c>
      <c r="R26" s="41" t="s">
        <v>96</v>
      </c>
      <c r="S26" s="40">
        <v>1</v>
      </c>
      <c r="T26" s="40"/>
      <c r="U26" s="41" t="s">
        <v>287</v>
      </c>
      <c r="V26" s="40">
        <v>1</v>
      </c>
      <c r="W26" s="40">
        <v>1</v>
      </c>
      <c r="X26" s="41" t="s">
        <v>288</v>
      </c>
      <c r="Y26" s="41"/>
      <c r="Z26" s="40" t="s">
        <v>76</v>
      </c>
      <c r="AA26" s="40" t="s">
        <v>68</v>
      </c>
      <c r="AB26" s="41" t="s">
        <v>76</v>
      </c>
      <c r="AC26" s="41" t="s">
        <v>322</v>
      </c>
      <c r="AD26" s="40" t="s">
        <v>112</v>
      </c>
      <c r="AE26" s="41"/>
      <c r="AF26" s="41"/>
      <c r="AG26" s="41"/>
      <c r="AH26" s="41"/>
      <c r="AI26" s="41"/>
      <c r="AJ26" s="41"/>
      <c r="AK26" s="41"/>
      <c r="AL26" s="41"/>
      <c r="AM26" s="41"/>
      <c r="AN26" s="41"/>
      <c r="AO26" s="41"/>
      <c r="AP26" s="41"/>
      <c r="AQ26" s="41"/>
      <c r="AR26" s="41"/>
      <c r="AS26" s="41"/>
    </row>
    <row r="27" spans="1:45" ht="85.5" customHeight="1">
      <c r="A27" s="89" t="s">
        <v>293</v>
      </c>
      <c r="B27" s="55">
        <v>6</v>
      </c>
      <c r="C27" s="56" t="s">
        <v>41</v>
      </c>
      <c r="D27" s="57"/>
      <c r="E27" s="57">
        <v>1</v>
      </c>
      <c r="F27" s="56" t="s">
        <v>71</v>
      </c>
      <c r="G27" s="142" t="s">
        <v>294</v>
      </c>
      <c r="H27" s="56" t="s">
        <v>64</v>
      </c>
      <c r="I27" s="56" t="s">
        <v>149</v>
      </c>
      <c r="J27" s="57" t="s">
        <v>296</v>
      </c>
      <c r="K27" s="56" t="s">
        <v>295</v>
      </c>
      <c r="L27" s="90" t="s">
        <v>299</v>
      </c>
      <c r="M27" s="60" t="s">
        <v>297</v>
      </c>
      <c r="N27" s="55">
        <v>2025</v>
      </c>
      <c r="O27" s="56" t="s">
        <v>153</v>
      </c>
      <c r="P27" s="56">
        <v>1</v>
      </c>
      <c r="Q27" s="56">
        <v>80</v>
      </c>
      <c r="R27" s="57" t="s">
        <v>96</v>
      </c>
      <c r="S27" s="56">
        <v>1</v>
      </c>
      <c r="T27" s="56"/>
      <c r="U27" s="57" t="s">
        <v>298</v>
      </c>
      <c r="V27" s="56">
        <v>1</v>
      </c>
      <c r="W27" s="56">
        <v>1</v>
      </c>
      <c r="X27" s="57"/>
      <c r="Y27" s="57" t="s">
        <v>302</v>
      </c>
      <c r="Z27" s="56" t="s">
        <v>76</v>
      </c>
      <c r="AA27" s="56" t="s">
        <v>59</v>
      </c>
      <c r="AB27" s="57" t="s">
        <v>76</v>
      </c>
      <c r="AC27" s="57"/>
      <c r="AD27" s="56" t="s">
        <v>112</v>
      </c>
      <c r="AE27" s="57"/>
      <c r="AF27" s="57"/>
      <c r="AG27" s="57">
        <v>1</v>
      </c>
      <c r="AH27" s="57"/>
      <c r="AI27" s="57"/>
      <c r="AJ27" s="57"/>
      <c r="AK27" s="57"/>
      <c r="AL27" s="57"/>
      <c r="AM27" s="57"/>
      <c r="AN27" s="57">
        <v>1</v>
      </c>
      <c r="AO27" s="57"/>
      <c r="AP27" s="57"/>
      <c r="AQ27" s="57"/>
      <c r="AR27" s="57"/>
      <c r="AS27" s="57"/>
    </row>
    <row r="28" spans="1:45" ht="85.5" customHeight="1">
      <c r="A28" s="92" t="s">
        <v>303</v>
      </c>
      <c r="B28" s="93">
        <v>2</v>
      </c>
      <c r="C28" s="94" t="s">
        <v>42</v>
      </c>
      <c r="D28" s="95">
        <v>1</v>
      </c>
      <c r="E28" s="95"/>
      <c r="F28" s="94" t="s">
        <v>64</v>
      </c>
      <c r="G28" s="138" t="s">
        <v>304</v>
      </c>
      <c r="H28" s="94" t="s">
        <v>64</v>
      </c>
      <c r="I28" s="94" t="s">
        <v>149</v>
      </c>
      <c r="J28" s="94" t="s">
        <v>306</v>
      </c>
      <c r="K28" s="94" t="s">
        <v>305</v>
      </c>
      <c r="L28" s="96" t="s">
        <v>307</v>
      </c>
      <c r="M28" s="97" t="s">
        <v>39</v>
      </c>
      <c r="N28" s="93">
        <v>2026</v>
      </c>
      <c r="O28" s="94" t="s">
        <v>308</v>
      </c>
      <c r="P28" s="94">
        <v>2</v>
      </c>
      <c r="Q28" s="94">
        <v>310</v>
      </c>
      <c r="R28" s="95" t="s">
        <v>96</v>
      </c>
      <c r="S28" s="94"/>
      <c r="T28" s="94">
        <v>1</v>
      </c>
      <c r="U28" s="95" t="s">
        <v>309</v>
      </c>
      <c r="V28" s="94">
        <v>1</v>
      </c>
      <c r="W28" s="94"/>
      <c r="X28" s="95"/>
      <c r="Y28" s="95" t="s">
        <v>316</v>
      </c>
      <c r="Z28" s="94" t="s">
        <v>76</v>
      </c>
      <c r="AA28" s="94" t="s">
        <v>57</v>
      </c>
      <c r="AB28" s="95" t="s">
        <v>76</v>
      </c>
      <c r="AC28" s="146" t="s">
        <v>364</v>
      </c>
      <c r="AD28" s="94" t="s">
        <v>154</v>
      </c>
      <c r="AE28" s="95">
        <v>1</v>
      </c>
      <c r="AF28" s="95">
        <v>1</v>
      </c>
      <c r="AG28" s="95">
        <v>1</v>
      </c>
      <c r="AH28" s="95"/>
      <c r="AI28" s="95">
        <v>1</v>
      </c>
      <c r="AJ28" s="95"/>
      <c r="AK28" s="95"/>
      <c r="AL28" s="95"/>
      <c r="AM28" s="95"/>
      <c r="AN28" s="95"/>
      <c r="AO28" s="95"/>
      <c r="AP28" s="95"/>
      <c r="AQ28" s="95"/>
      <c r="AR28" s="95"/>
      <c r="AS28" s="95"/>
    </row>
    <row r="29" spans="1:45" ht="85.5" customHeight="1">
      <c r="A29" s="91" t="s">
        <v>310</v>
      </c>
      <c r="B29" s="47">
        <v>17</v>
      </c>
      <c r="C29" s="48" t="s">
        <v>42</v>
      </c>
      <c r="D29" s="49">
        <v>1</v>
      </c>
      <c r="E29" s="49"/>
      <c r="F29" s="48" t="s">
        <v>64</v>
      </c>
      <c r="G29" s="139" t="s">
        <v>311</v>
      </c>
      <c r="H29" s="48" t="s">
        <v>64</v>
      </c>
      <c r="I29" s="48" t="s">
        <v>75</v>
      </c>
      <c r="J29" s="48" t="s">
        <v>312</v>
      </c>
      <c r="K29" s="48" t="s">
        <v>313</v>
      </c>
      <c r="L29" s="88"/>
      <c r="M29" s="52" t="s">
        <v>152</v>
      </c>
      <c r="N29" s="47">
        <v>2026</v>
      </c>
      <c r="O29" s="48" t="s">
        <v>76</v>
      </c>
      <c r="P29" s="48">
        <v>2</v>
      </c>
      <c r="Q29" s="48">
        <v>200</v>
      </c>
      <c r="R29" s="49" t="s">
        <v>243</v>
      </c>
      <c r="S29" s="48"/>
      <c r="T29" s="48">
        <v>1</v>
      </c>
      <c r="U29" s="49" t="s">
        <v>282</v>
      </c>
      <c r="V29" s="48">
        <v>1</v>
      </c>
      <c r="W29" s="48">
        <v>1</v>
      </c>
      <c r="X29" s="49" t="s">
        <v>314</v>
      </c>
      <c r="Y29" s="49"/>
      <c r="Z29" s="48" t="s">
        <v>153</v>
      </c>
      <c r="AA29" s="48" t="s">
        <v>95</v>
      </c>
      <c r="AB29" s="49" t="s">
        <v>76</v>
      </c>
      <c r="AC29" s="49" t="s">
        <v>315</v>
      </c>
      <c r="AD29" s="48" t="s">
        <v>112</v>
      </c>
      <c r="AE29" s="49"/>
      <c r="AF29" s="49"/>
      <c r="AG29" s="49">
        <v>1</v>
      </c>
      <c r="AH29" s="49"/>
      <c r="AI29" s="49"/>
      <c r="AJ29" s="49"/>
      <c r="AK29" s="49"/>
      <c r="AL29" s="49"/>
      <c r="AM29" s="49"/>
      <c r="AN29" s="49">
        <v>1</v>
      </c>
      <c r="AO29" s="49">
        <v>1</v>
      </c>
      <c r="AP29" s="49"/>
      <c r="AQ29" s="49"/>
      <c r="AR29" s="49"/>
      <c r="AS29" s="49"/>
    </row>
    <row r="30" spans="1:45" ht="180.75" customHeight="1">
      <c r="A30" s="104" t="s">
        <v>317</v>
      </c>
      <c r="B30" s="105">
        <v>23</v>
      </c>
      <c r="C30" s="106" t="s">
        <v>42</v>
      </c>
      <c r="D30" s="107"/>
      <c r="E30" s="107">
        <v>1</v>
      </c>
      <c r="F30" s="106" t="s">
        <v>71</v>
      </c>
      <c r="G30" s="140" t="s">
        <v>321</v>
      </c>
      <c r="H30" s="106" t="s">
        <v>64</v>
      </c>
      <c r="I30" s="108" t="s">
        <v>149</v>
      </c>
      <c r="J30" s="106" t="s">
        <v>318</v>
      </c>
      <c r="K30" s="106" t="s">
        <v>319</v>
      </c>
      <c r="L30" s="109" t="s">
        <v>320</v>
      </c>
      <c r="M30" s="110" t="s">
        <v>46</v>
      </c>
      <c r="N30" s="105">
        <v>2025</v>
      </c>
      <c r="O30" s="106" t="s">
        <v>76</v>
      </c>
      <c r="P30" s="106">
        <v>1</v>
      </c>
      <c r="Q30" s="106">
        <v>31</v>
      </c>
      <c r="R30" s="107" t="s">
        <v>96</v>
      </c>
      <c r="S30" s="106"/>
      <c r="T30" s="106">
        <v>1</v>
      </c>
      <c r="U30" s="107"/>
      <c r="V30" s="106">
        <v>1</v>
      </c>
      <c r="W30" s="106">
        <v>1</v>
      </c>
      <c r="X30" s="107"/>
      <c r="Y30" s="107"/>
      <c r="Z30" s="106" t="s">
        <v>76</v>
      </c>
      <c r="AA30" s="106" t="s">
        <v>58</v>
      </c>
      <c r="AB30" s="107" t="s">
        <v>76</v>
      </c>
      <c r="AC30" s="107" t="s">
        <v>340</v>
      </c>
      <c r="AD30" s="106" t="s">
        <v>112</v>
      </c>
      <c r="AE30" s="107"/>
      <c r="AF30" s="107"/>
      <c r="AG30" s="107"/>
      <c r="AH30" s="107"/>
      <c r="AI30" s="107"/>
      <c r="AJ30" s="107"/>
      <c r="AK30" s="107"/>
      <c r="AL30" s="107"/>
      <c r="AM30" s="107"/>
      <c r="AN30" s="107"/>
      <c r="AO30" s="107"/>
      <c r="AP30" s="107">
        <v>1</v>
      </c>
      <c r="AQ30" s="107"/>
      <c r="AR30" s="107"/>
      <c r="AS30" s="107"/>
    </row>
    <row r="31" spans="1:45" ht="74.099999999999994" customHeight="1">
      <c r="A31" s="38" t="s">
        <v>341</v>
      </c>
      <c r="B31" s="39">
        <v>5</v>
      </c>
      <c r="C31" s="40" t="s">
        <v>44</v>
      </c>
      <c r="D31" s="41">
        <v>1</v>
      </c>
      <c r="E31" s="41"/>
      <c r="F31" s="40" t="s">
        <v>71</v>
      </c>
      <c r="G31" s="138" t="s">
        <v>342</v>
      </c>
      <c r="H31" s="40" t="s">
        <v>64</v>
      </c>
      <c r="I31" s="40" t="s">
        <v>130</v>
      </c>
      <c r="J31" s="40" t="s">
        <v>343</v>
      </c>
      <c r="K31" s="42" t="s">
        <v>344</v>
      </c>
      <c r="L31" s="53" t="s">
        <v>345</v>
      </c>
      <c r="M31" s="44" t="s">
        <v>44</v>
      </c>
      <c r="N31" s="39">
        <v>2025</v>
      </c>
      <c r="O31" s="40" t="s">
        <v>76</v>
      </c>
      <c r="P31" s="40"/>
      <c r="Q31" s="40"/>
      <c r="R31" s="40" t="s">
        <v>334</v>
      </c>
      <c r="S31" s="40">
        <v>1</v>
      </c>
      <c r="T31" s="144"/>
      <c r="U31" s="41"/>
      <c r="V31" s="40">
        <v>1</v>
      </c>
      <c r="W31" s="40"/>
      <c r="X31" s="41"/>
      <c r="Y31" s="41"/>
      <c r="Z31" s="40"/>
      <c r="AA31" s="40" t="s">
        <v>237</v>
      </c>
      <c r="AB31" s="41" t="s">
        <v>76</v>
      </c>
      <c r="AC31" s="145" t="s">
        <v>407</v>
      </c>
      <c r="AD31" s="40" t="s">
        <v>327</v>
      </c>
      <c r="AE31" s="41"/>
      <c r="AF31" s="41"/>
      <c r="AG31" s="41"/>
      <c r="AH31" s="41"/>
      <c r="AI31" s="41"/>
      <c r="AJ31" s="41"/>
      <c r="AK31" s="41"/>
      <c r="AL31" s="41"/>
      <c r="AM31" s="41"/>
      <c r="AN31" s="41"/>
      <c r="AO31" s="41"/>
      <c r="AP31" s="41"/>
      <c r="AQ31" s="41"/>
      <c r="AR31" s="41"/>
      <c r="AS31" s="41"/>
    </row>
    <row r="32" spans="1:45" ht="234" customHeight="1">
      <c r="A32" s="46" t="s">
        <v>346</v>
      </c>
      <c r="B32" s="47">
        <v>5</v>
      </c>
      <c r="C32" s="48" t="s">
        <v>44</v>
      </c>
      <c r="D32" s="49">
        <v>1</v>
      </c>
      <c r="E32" s="49"/>
      <c r="F32" s="48" t="s">
        <v>64</v>
      </c>
      <c r="G32" s="149" t="s">
        <v>347</v>
      </c>
      <c r="H32" s="48" t="s">
        <v>64</v>
      </c>
      <c r="I32" s="48" t="s">
        <v>75</v>
      </c>
      <c r="J32" s="48" t="s">
        <v>348</v>
      </c>
      <c r="K32" s="50" t="s">
        <v>349</v>
      </c>
      <c r="L32" s="88" t="s">
        <v>350</v>
      </c>
      <c r="M32" s="52" t="s">
        <v>42</v>
      </c>
      <c r="N32" s="47">
        <v>2026</v>
      </c>
      <c r="O32" s="48"/>
      <c r="P32" s="48">
        <v>7</v>
      </c>
      <c r="Q32" s="48"/>
      <c r="R32" s="48" t="s">
        <v>243</v>
      </c>
      <c r="S32" s="48"/>
      <c r="T32" s="48">
        <v>1</v>
      </c>
      <c r="U32" s="49">
        <v>4</v>
      </c>
      <c r="V32" s="48">
        <v>1</v>
      </c>
      <c r="W32" s="48"/>
      <c r="X32" s="49" t="s">
        <v>351</v>
      </c>
      <c r="Y32" s="49"/>
      <c r="Z32" s="48" t="s">
        <v>76</v>
      </c>
      <c r="AA32" s="48" t="s">
        <v>59</v>
      </c>
      <c r="AB32" s="49" t="s">
        <v>76</v>
      </c>
      <c r="AC32" s="49" t="s">
        <v>373</v>
      </c>
      <c r="AD32" s="48" t="s">
        <v>327</v>
      </c>
      <c r="AE32" s="49"/>
      <c r="AF32" s="49"/>
      <c r="AG32" s="49"/>
      <c r="AH32" s="49"/>
      <c r="AI32" s="49"/>
      <c r="AJ32" s="49"/>
      <c r="AK32" s="49"/>
      <c r="AL32" s="49"/>
      <c r="AM32" s="49"/>
      <c r="AN32" s="49"/>
      <c r="AO32" s="49"/>
      <c r="AP32" s="49"/>
      <c r="AQ32" s="49"/>
      <c r="AR32" s="49"/>
      <c r="AS32" s="49"/>
    </row>
    <row r="33" spans="1:708" ht="149.25" customHeight="1">
      <c r="A33" s="54" t="s">
        <v>352</v>
      </c>
      <c r="B33" s="55">
        <v>11</v>
      </c>
      <c r="C33" s="56" t="s">
        <v>44</v>
      </c>
      <c r="D33" s="57">
        <v>1</v>
      </c>
      <c r="E33" s="57"/>
      <c r="F33" s="56" t="s">
        <v>71</v>
      </c>
      <c r="G33" s="142" t="s">
        <v>353</v>
      </c>
      <c r="H33" s="56" t="s">
        <v>74</v>
      </c>
      <c r="I33" s="56" t="s">
        <v>75</v>
      </c>
      <c r="J33" s="56" t="s">
        <v>354</v>
      </c>
      <c r="K33" s="58" t="s">
        <v>355</v>
      </c>
      <c r="L33" s="59"/>
      <c r="M33" s="60" t="s">
        <v>41</v>
      </c>
      <c r="N33" s="55">
        <v>2026</v>
      </c>
      <c r="O33" s="56" t="s">
        <v>76</v>
      </c>
      <c r="P33" s="56"/>
      <c r="Q33" s="56">
        <v>500</v>
      </c>
      <c r="R33" s="56" t="s">
        <v>334</v>
      </c>
      <c r="S33" s="56">
        <v>1</v>
      </c>
      <c r="T33" s="56"/>
      <c r="U33" s="57"/>
      <c r="V33" s="56">
        <v>1</v>
      </c>
      <c r="W33" s="56">
        <v>1</v>
      </c>
      <c r="X33" s="57" t="s">
        <v>356</v>
      </c>
      <c r="Y33" s="57"/>
      <c r="Z33" s="48" t="s">
        <v>76</v>
      </c>
      <c r="AA33" s="56" t="s">
        <v>95</v>
      </c>
      <c r="AB33" s="57" t="s">
        <v>308</v>
      </c>
      <c r="AC33" s="57" t="s">
        <v>365</v>
      </c>
      <c r="AD33" s="56" t="s">
        <v>112</v>
      </c>
      <c r="AE33" s="57"/>
      <c r="AF33" s="57"/>
      <c r="AG33" s="57"/>
      <c r="AH33" s="57"/>
      <c r="AI33" s="57"/>
      <c r="AJ33" s="57"/>
      <c r="AK33" s="57"/>
      <c r="AL33" s="57"/>
      <c r="AM33" s="57"/>
      <c r="AN33" s="57"/>
      <c r="AO33" s="57"/>
      <c r="AP33" s="57"/>
      <c r="AQ33" s="57"/>
      <c r="AR33" s="57"/>
      <c r="AS33" s="57"/>
    </row>
    <row r="34" spans="1:708" ht="97.5" customHeight="1">
      <c r="A34" s="54" t="s">
        <v>357</v>
      </c>
      <c r="B34" s="55">
        <v>11</v>
      </c>
      <c r="C34" s="56" t="s">
        <v>44</v>
      </c>
      <c r="D34" s="57"/>
      <c r="E34" s="57">
        <v>1</v>
      </c>
      <c r="F34" s="56" t="s">
        <v>64</v>
      </c>
      <c r="G34" s="147" t="s">
        <v>358</v>
      </c>
      <c r="H34" s="56" t="s">
        <v>64</v>
      </c>
      <c r="I34" s="56" t="s">
        <v>75</v>
      </c>
      <c r="J34" s="56" t="s">
        <v>359</v>
      </c>
      <c r="K34" s="58" t="s">
        <v>360</v>
      </c>
      <c r="L34" s="59"/>
      <c r="M34" s="60" t="s">
        <v>40</v>
      </c>
      <c r="N34" s="55">
        <v>2026</v>
      </c>
      <c r="O34" s="56" t="s">
        <v>76</v>
      </c>
      <c r="P34" s="56"/>
      <c r="Q34" s="56">
        <v>300</v>
      </c>
      <c r="R34" s="56" t="s">
        <v>243</v>
      </c>
      <c r="S34" s="56">
        <v>1</v>
      </c>
      <c r="T34" s="56"/>
      <c r="U34" s="57" t="s">
        <v>361</v>
      </c>
      <c r="V34" s="56">
        <v>1</v>
      </c>
      <c r="W34" s="56"/>
      <c r="X34" s="57" t="s">
        <v>361</v>
      </c>
      <c r="Y34" s="57"/>
      <c r="Z34" s="48" t="s">
        <v>76</v>
      </c>
      <c r="AA34" s="56" t="s">
        <v>237</v>
      </c>
      <c r="AB34" s="57" t="s">
        <v>363</v>
      </c>
      <c r="AC34" s="57" t="s">
        <v>362</v>
      </c>
      <c r="AD34" s="56" t="s">
        <v>77</v>
      </c>
      <c r="AE34" s="57"/>
      <c r="AF34" s="57"/>
      <c r="AG34" s="57"/>
      <c r="AH34" s="57"/>
      <c r="AI34" s="57"/>
      <c r="AJ34" s="57"/>
      <c r="AK34" s="57"/>
      <c r="AL34" s="57"/>
      <c r="AM34" s="57"/>
      <c r="AN34" s="57"/>
      <c r="AO34" s="57"/>
      <c r="AP34" s="57"/>
      <c r="AQ34" s="57"/>
      <c r="AR34" s="57"/>
      <c r="AS34" s="57"/>
    </row>
    <row r="35" spans="1:708" s="148" customFormat="1" ht="108.75" customHeight="1">
      <c r="A35" s="30" t="s">
        <v>366</v>
      </c>
      <c r="B35" s="31">
        <v>15</v>
      </c>
      <c r="C35" s="32" t="s">
        <v>44</v>
      </c>
      <c r="D35" s="33"/>
      <c r="E35" s="33">
        <v>1</v>
      </c>
      <c r="F35" s="32" t="s">
        <v>71</v>
      </c>
      <c r="G35" s="136" t="s">
        <v>367</v>
      </c>
      <c r="H35" s="32" t="s">
        <v>74</v>
      </c>
      <c r="I35" s="32" t="s">
        <v>130</v>
      </c>
      <c r="J35" s="32" t="s">
        <v>368</v>
      </c>
      <c r="K35" s="34" t="s">
        <v>369</v>
      </c>
      <c r="L35" s="99" t="s">
        <v>370</v>
      </c>
      <c r="M35" s="36" t="s">
        <v>46</v>
      </c>
      <c r="N35" s="31">
        <v>2025</v>
      </c>
      <c r="O35" s="32" t="s">
        <v>76</v>
      </c>
      <c r="P35" s="32">
        <v>2</v>
      </c>
      <c r="Q35" s="32">
        <v>60</v>
      </c>
      <c r="R35" s="32" t="s">
        <v>334</v>
      </c>
      <c r="S35" s="32">
        <v>1</v>
      </c>
      <c r="T35" s="32">
        <v>1</v>
      </c>
      <c r="U35" s="33" t="s">
        <v>371</v>
      </c>
      <c r="V35" s="32">
        <v>1</v>
      </c>
      <c r="W35" s="32"/>
      <c r="X35" s="33"/>
      <c r="Y35" s="33" t="s">
        <v>125</v>
      </c>
      <c r="Z35" s="32" t="s">
        <v>125</v>
      </c>
      <c r="AA35" s="32" t="s">
        <v>58</v>
      </c>
      <c r="AB35" s="33" t="s">
        <v>76</v>
      </c>
      <c r="AC35" s="33" t="s">
        <v>372</v>
      </c>
      <c r="AD35" s="32" t="s">
        <v>77</v>
      </c>
      <c r="AE35" s="33"/>
      <c r="AF35" s="33">
        <v>1</v>
      </c>
      <c r="AG35" s="33"/>
      <c r="AH35" s="33"/>
      <c r="AI35" s="33"/>
      <c r="AJ35" s="33"/>
      <c r="AK35" s="33"/>
      <c r="AL35" s="33"/>
      <c r="AM35" s="33"/>
      <c r="AN35" s="33"/>
      <c r="AO35" s="33"/>
      <c r="AP35" s="33"/>
      <c r="AQ35" s="33"/>
      <c r="AR35" s="33"/>
      <c r="AS35" s="33"/>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c r="DO35" s="17"/>
      <c r="DP35" s="17"/>
      <c r="DQ35" s="17"/>
      <c r="DR35" s="17"/>
      <c r="DS35" s="17"/>
      <c r="DT35" s="17"/>
      <c r="DU35" s="17"/>
      <c r="DV35" s="17"/>
      <c r="DW35" s="17"/>
      <c r="DX35" s="17"/>
      <c r="DY35" s="17"/>
      <c r="DZ35" s="17"/>
      <c r="EA35" s="17"/>
      <c r="EB35" s="17"/>
      <c r="EC35" s="17"/>
      <c r="ED35" s="17"/>
      <c r="EE35" s="17"/>
      <c r="EF35" s="17"/>
      <c r="EG35" s="17"/>
      <c r="EH35" s="17"/>
      <c r="EI35" s="17"/>
      <c r="EJ35" s="17"/>
      <c r="EK35" s="17"/>
      <c r="EL35" s="17"/>
      <c r="EM35" s="17"/>
      <c r="EN35" s="17"/>
      <c r="EO35" s="17"/>
      <c r="EP35" s="17"/>
      <c r="EQ35" s="17"/>
      <c r="ER35" s="17"/>
      <c r="ES35" s="17"/>
      <c r="ET35" s="17"/>
      <c r="EU35" s="17"/>
      <c r="EV35" s="17"/>
      <c r="EW35" s="17"/>
      <c r="EX35" s="17"/>
      <c r="EY35" s="17"/>
      <c r="EZ35" s="17"/>
      <c r="FA35" s="17"/>
      <c r="FB35" s="17"/>
      <c r="FC35" s="17"/>
      <c r="FD35" s="17"/>
      <c r="FE35" s="17"/>
      <c r="FF35" s="17"/>
      <c r="FG35" s="17"/>
      <c r="FH35" s="17"/>
      <c r="FI35" s="17"/>
      <c r="FJ35" s="17"/>
      <c r="FK35" s="17"/>
      <c r="FL35" s="17"/>
      <c r="FM35" s="17"/>
      <c r="FN35" s="17"/>
      <c r="FO35" s="17"/>
      <c r="FP35" s="17"/>
      <c r="FQ35" s="17"/>
      <c r="FR35" s="17"/>
      <c r="FS35" s="17"/>
      <c r="FT35" s="17"/>
      <c r="FU35" s="17"/>
      <c r="FV35" s="17"/>
      <c r="FW35" s="17"/>
      <c r="FX35" s="17"/>
      <c r="FY35" s="17"/>
      <c r="FZ35" s="17"/>
      <c r="GA35" s="17"/>
      <c r="GB35" s="17"/>
      <c r="GC35" s="17"/>
      <c r="GD35" s="17"/>
      <c r="GE35" s="17"/>
      <c r="GF35" s="17"/>
      <c r="GG35" s="17"/>
      <c r="GH35" s="17"/>
      <c r="GI35" s="17"/>
      <c r="GJ35" s="17"/>
      <c r="GK35" s="17"/>
      <c r="GL35" s="17"/>
      <c r="GM35" s="17"/>
      <c r="GN35" s="17"/>
      <c r="GO35" s="17"/>
      <c r="GP35" s="17"/>
      <c r="GQ35" s="17"/>
      <c r="GR35" s="17"/>
      <c r="GS35" s="17"/>
      <c r="GT35" s="17"/>
      <c r="GU35" s="17"/>
      <c r="GV35" s="17"/>
      <c r="GW35" s="17"/>
      <c r="GX35" s="17"/>
      <c r="GY35" s="17"/>
      <c r="GZ35" s="17"/>
      <c r="HA35" s="17"/>
      <c r="HB35" s="17"/>
      <c r="HC35" s="17"/>
      <c r="HD35" s="17"/>
      <c r="HE35" s="17"/>
      <c r="HF35" s="17"/>
      <c r="HG35" s="17"/>
      <c r="HH35" s="17"/>
      <c r="HI35" s="17"/>
      <c r="HJ35" s="17"/>
      <c r="HK35" s="17"/>
      <c r="HL35" s="17"/>
      <c r="HM35" s="17"/>
      <c r="HN35" s="17"/>
      <c r="HO35" s="17"/>
      <c r="HP35" s="17"/>
      <c r="HQ35" s="17"/>
      <c r="HR35" s="17"/>
      <c r="HS35" s="17"/>
      <c r="HT35" s="17"/>
      <c r="HU35" s="17"/>
      <c r="HV35" s="17"/>
      <c r="HW35" s="17"/>
      <c r="HX35" s="17"/>
      <c r="HY35" s="17"/>
      <c r="HZ35" s="17"/>
      <c r="IA35" s="17"/>
      <c r="IB35" s="17"/>
      <c r="IC35" s="17"/>
      <c r="ID35" s="17"/>
      <c r="IE35" s="17"/>
      <c r="IF35" s="17"/>
      <c r="IG35" s="17"/>
      <c r="IH35" s="17"/>
      <c r="II35" s="17"/>
      <c r="IJ35" s="17"/>
      <c r="IK35" s="17"/>
      <c r="IL35" s="17"/>
      <c r="IM35" s="17"/>
      <c r="IN35" s="17"/>
      <c r="IO35" s="17"/>
      <c r="IP35" s="17"/>
      <c r="IQ35" s="17"/>
      <c r="IR35" s="17"/>
      <c r="IS35" s="17"/>
      <c r="IT35" s="17"/>
      <c r="IU35" s="17"/>
      <c r="IV35" s="17"/>
      <c r="IW35" s="17"/>
      <c r="IX35" s="17"/>
      <c r="IY35" s="17"/>
      <c r="IZ35" s="17"/>
      <c r="JA35" s="17"/>
      <c r="JB35" s="17"/>
      <c r="JC35" s="17"/>
      <c r="JD35" s="17"/>
      <c r="JE35" s="17"/>
      <c r="JF35" s="17"/>
      <c r="JG35" s="17"/>
      <c r="JH35" s="17"/>
      <c r="JI35" s="17"/>
      <c r="JJ35" s="17"/>
      <c r="JK35" s="17"/>
      <c r="JL35" s="17"/>
      <c r="JM35" s="17"/>
      <c r="JN35" s="17"/>
      <c r="JO35" s="17"/>
      <c r="JP35" s="17"/>
      <c r="JQ35" s="17"/>
      <c r="JR35" s="17"/>
      <c r="JS35" s="17"/>
      <c r="JT35" s="17"/>
      <c r="JU35" s="17"/>
      <c r="JV35" s="17"/>
      <c r="JW35" s="17"/>
      <c r="JX35" s="17"/>
      <c r="JY35" s="17"/>
      <c r="JZ35" s="17"/>
      <c r="KA35" s="17"/>
      <c r="KB35" s="17"/>
      <c r="KC35" s="17"/>
      <c r="KD35" s="17"/>
      <c r="KE35" s="17"/>
      <c r="KF35" s="17"/>
      <c r="KG35" s="17"/>
      <c r="KH35" s="17"/>
      <c r="KI35" s="17"/>
      <c r="KJ35" s="17"/>
      <c r="KK35" s="17"/>
      <c r="KL35" s="17"/>
      <c r="KM35" s="17"/>
      <c r="KN35" s="17"/>
      <c r="KO35" s="17"/>
      <c r="KP35" s="17"/>
      <c r="KQ35" s="17"/>
      <c r="KR35" s="17"/>
      <c r="KS35" s="17"/>
      <c r="KT35" s="17"/>
      <c r="KU35" s="17"/>
      <c r="KV35" s="17"/>
      <c r="KW35" s="17"/>
      <c r="KX35" s="17"/>
      <c r="KY35" s="17"/>
      <c r="KZ35" s="17"/>
      <c r="LA35" s="17"/>
      <c r="LB35" s="17"/>
      <c r="LC35" s="17"/>
      <c r="LD35" s="17"/>
      <c r="LE35" s="17"/>
      <c r="LF35" s="17"/>
      <c r="LG35" s="17"/>
      <c r="LH35" s="17"/>
      <c r="LI35" s="17"/>
      <c r="LJ35" s="17"/>
      <c r="LK35" s="17"/>
      <c r="LL35" s="17"/>
      <c r="LM35" s="17"/>
      <c r="LN35" s="17"/>
      <c r="LO35" s="17"/>
      <c r="LP35" s="17"/>
      <c r="LQ35" s="17"/>
      <c r="LR35" s="17"/>
      <c r="LS35" s="17"/>
      <c r="LT35" s="17"/>
      <c r="LU35" s="17"/>
      <c r="LV35" s="17"/>
      <c r="LW35" s="17"/>
      <c r="LX35" s="17"/>
      <c r="LY35" s="17"/>
      <c r="LZ35" s="17"/>
      <c r="MA35" s="17"/>
      <c r="MB35" s="17"/>
      <c r="MC35" s="17"/>
      <c r="MD35" s="17"/>
      <c r="ME35" s="17"/>
      <c r="MF35" s="17"/>
      <c r="MG35" s="17"/>
      <c r="MH35" s="17"/>
      <c r="MI35" s="17"/>
      <c r="MJ35" s="17"/>
      <c r="MK35" s="17"/>
      <c r="ML35" s="17"/>
      <c r="MM35" s="17"/>
      <c r="MN35" s="17"/>
      <c r="MO35" s="17"/>
      <c r="MP35" s="17"/>
      <c r="MQ35" s="17"/>
      <c r="MR35" s="17"/>
      <c r="MS35" s="17"/>
      <c r="MT35" s="17"/>
      <c r="MU35" s="17"/>
      <c r="MV35" s="17"/>
      <c r="MW35" s="17"/>
      <c r="MX35" s="17"/>
      <c r="MY35" s="17"/>
      <c r="MZ35" s="17"/>
      <c r="NA35" s="17"/>
      <c r="NB35" s="17"/>
      <c r="NC35" s="17"/>
      <c r="ND35" s="17"/>
      <c r="NE35" s="17"/>
      <c r="NF35" s="17"/>
      <c r="NG35" s="17"/>
      <c r="NH35" s="17"/>
      <c r="NI35" s="17"/>
      <c r="NJ35" s="17"/>
      <c r="NK35" s="17"/>
      <c r="NL35" s="17"/>
      <c r="NM35" s="17"/>
      <c r="NN35" s="17"/>
      <c r="NO35" s="17"/>
      <c r="NP35" s="17"/>
      <c r="NQ35" s="17"/>
      <c r="NR35" s="17"/>
      <c r="NS35" s="17"/>
      <c r="NT35" s="17"/>
      <c r="NU35" s="17"/>
      <c r="NV35" s="17"/>
      <c r="NW35" s="17"/>
      <c r="NX35" s="17"/>
      <c r="NY35" s="17"/>
      <c r="NZ35" s="17"/>
      <c r="OA35" s="17"/>
      <c r="OB35" s="17"/>
      <c r="OC35" s="17"/>
      <c r="OD35" s="17"/>
      <c r="OE35" s="17"/>
      <c r="OF35" s="17"/>
      <c r="OG35" s="17"/>
      <c r="OH35" s="17"/>
      <c r="OI35" s="17"/>
      <c r="OJ35" s="17"/>
      <c r="OK35" s="17"/>
      <c r="OL35" s="17"/>
      <c r="OM35" s="17"/>
      <c r="ON35" s="17"/>
      <c r="OO35" s="17"/>
      <c r="OP35" s="17"/>
      <c r="OQ35" s="17"/>
      <c r="OR35" s="17"/>
      <c r="OS35" s="17"/>
      <c r="OT35" s="17"/>
      <c r="OU35" s="17"/>
      <c r="OV35" s="17"/>
      <c r="OW35" s="17"/>
      <c r="OX35" s="17"/>
      <c r="OY35" s="17"/>
      <c r="OZ35" s="17"/>
      <c r="PA35" s="17"/>
      <c r="PB35" s="17"/>
      <c r="PC35" s="17"/>
      <c r="PD35" s="17"/>
      <c r="PE35" s="17"/>
      <c r="PF35" s="17"/>
      <c r="PG35" s="17"/>
      <c r="PH35" s="17"/>
      <c r="PI35" s="17"/>
      <c r="PJ35" s="17"/>
      <c r="PK35" s="17"/>
      <c r="PL35" s="17"/>
      <c r="PM35" s="17"/>
      <c r="PN35" s="17"/>
      <c r="PO35" s="17"/>
      <c r="PP35" s="17"/>
      <c r="PQ35" s="17"/>
      <c r="PR35" s="17"/>
      <c r="PS35" s="17"/>
      <c r="PT35" s="17"/>
      <c r="PU35" s="17"/>
      <c r="PV35" s="17"/>
      <c r="PW35" s="17"/>
      <c r="PX35" s="17"/>
      <c r="PY35" s="17"/>
      <c r="PZ35" s="17"/>
      <c r="QA35" s="17"/>
      <c r="QB35" s="17"/>
      <c r="QC35" s="17"/>
      <c r="QD35" s="17"/>
      <c r="QE35" s="17"/>
      <c r="QF35" s="17"/>
      <c r="QG35" s="17"/>
      <c r="QH35" s="17"/>
      <c r="QI35" s="17"/>
      <c r="QJ35" s="17"/>
      <c r="QK35" s="17"/>
      <c r="QL35" s="17"/>
      <c r="QM35" s="17"/>
      <c r="QN35" s="17"/>
      <c r="QO35" s="17"/>
      <c r="QP35" s="17"/>
      <c r="QQ35" s="17"/>
      <c r="QR35" s="17"/>
      <c r="QS35" s="17"/>
      <c r="QT35" s="17"/>
      <c r="QU35" s="17"/>
      <c r="QV35" s="17"/>
      <c r="QW35" s="17"/>
      <c r="QX35" s="17"/>
      <c r="QY35" s="17"/>
      <c r="QZ35" s="17"/>
      <c r="RA35" s="17"/>
      <c r="RB35" s="17"/>
      <c r="RC35" s="17"/>
      <c r="RD35" s="17"/>
      <c r="RE35" s="17"/>
      <c r="RF35" s="17"/>
      <c r="RG35" s="17"/>
      <c r="RH35" s="17"/>
      <c r="RI35" s="17"/>
      <c r="RJ35" s="17"/>
      <c r="RK35" s="17"/>
      <c r="RL35" s="17"/>
      <c r="RM35" s="17"/>
      <c r="RN35" s="17"/>
      <c r="RO35" s="17"/>
      <c r="RP35" s="17"/>
      <c r="RQ35" s="17"/>
      <c r="RR35" s="17"/>
      <c r="RS35" s="17"/>
      <c r="RT35" s="17"/>
      <c r="RU35" s="17"/>
      <c r="RV35" s="17"/>
      <c r="RW35" s="17"/>
      <c r="RX35" s="17"/>
      <c r="RY35" s="17"/>
      <c r="RZ35" s="17"/>
      <c r="SA35" s="17"/>
      <c r="SB35" s="17"/>
      <c r="SC35" s="17"/>
      <c r="SD35" s="17"/>
      <c r="SE35" s="17"/>
      <c r="SF35" s="17"/>
      <c r="SG35" s="17"/>
      <c r="SH35" s="17"/>
      <c r="SI35" s="17"/>
      <c r="SJ35" s="17"/>
      <c r="SK35" s="17"/>
      <c r="SL35" s="17"/>
      <c r="SM35" s="17"/>
      <c r="SN35" s="17"/>
      <c r="SO35" s="17"/>
      <c r="SP35" s="17"/>
      <c r="SQ35" s="17"/>
      <c r="SR35" s="17"/>
      <c r="SS35" s="17"/>
      <c r="ST35" s="17"/>
      <c r="SU35" s="17"/>
      <c r="SV35" s="17"/>
      <c r="SW35" s="17"/>
      <c r="SX35" s="17"/>
      <c r="SY35" s="17"/>
      <c r="SZ35" s="17"/>
      <c r="TA35" s="17"/>
      <c r="TB35" s="17"/>
      <c r="TC35" s="17"/>
      <c r="TD35" s="17"/>
      <c r="TE35" s="17"/>
      <c r="TF35" s="17"/>
      <c r="TG35" s="17"/>
      <c r="TH35" s="17"/>
      <c r="TI35" s="17"/>
      <c r="TJ35" s="17"/>
      <c r="TK35" s="17"/>
      <c r="TL35" s="17"/>
      <c r="TM35" s="17"/>
      <c r="TN35" s="17"/>
      <c r="TO35" s="17"/>
      <c r="TP35" s="17"/>
      <c r="TQ35" s="17"/>
      <c r="TR35" s="17"/>
      <c r="TS35" s="17"/>
      <c r="TT35" s="17"/>
      <c r="TU35" s="17"/>
      <c r="TV35" s="17"/>
      <c r="TW35" s="17"/>
      <c r="TX35" s="17"/>
      <c r="TY35" s="17"/>
      <c r="TZ35" s="17"/>
      <c r="UA35" s="17"/>
      <c r="UB35" s="17"/>
      <c r="UC35" s="17"/>
      <c r="UD35" s="17"/>
      <c r="UE35" s="17"/>
      <c r="UF35" s="17"/>
      <c r="UG35" s="17"/>
      <c r="UH35" s="17"/>
      <c r="UI35" s="17"/>
      <c r="UJ35" s="17"/>
      <c r="UK35" s="17"/>
      <c r="UL35" s="17"/>
      <c r="UM35" s="17"/>
      <c r="UN35" s="17"/>
      <c r="UO35" s="17"/>
      <c r="UP35" s="17"/>
      <c r="UQ35" s="17"/>
      <c r="UR35" s="17"/>
      <c r="US35" s="17"/>
      <c r="UT35" s="17"/>
      <c r="UU35" s="17"/>
      <c r="UV35" s="17"/>
      <c r="UW35" s="17"/>
      <c r="UX35" s="17"/>
      <c r="UY35" s="17"/>
      <c r="UZ35" s="17"/>
      <c r="VA35" s="17"/>
      <c r="VB35" s="17"/>
      <c r="VC35" s="17"/>
      <c r="VD35" s="17"/>
      <c r="VE35" s="17"/>
      <c r="VF35" s="17"/>
      <c r="VG35" s="17"/>
      <c r="VH35" s="17"/>
      <c r="VI35" s="17"/>
      <c r="VJ35" s="17"/>
      <c r="VK35" s="17"/>
      <c r="VL35" s="17"/>
      <c r="VM35" s="17"/>
      <c r="VN35" s="17"/>
      <c r="VO35" s="17"/>
      <c r="VP35" s="17"/>
      <c r="VQ35" s="17"/>
      <c r="VR35" s="17"/>
      <c r="VS35" s="17"/>
      <c r="VT35" s="17"/>
      <c r="VU35" s="17"/>
      <c r="VV35" s="17"/>
      <c r="VW35" s="17"/>
      <c r="VX35" s="17"/>
      <c r="VY35" s="17"/>
      <c r="VZ35" s="17"/>
      <c r="WA35" s="17"/>
      <c r="WB35" s="17"/>
      <c r="WC35" s="17"/>
      <c r="WD35" s="17"/>
      <c r="WE35" s="17"/>
      <c r="WF35" s="17"/>
      <c r="WG35" s="17"/>
      <c r="WH35" s="17"/>
      <c r="WI35" s="17"/>
      <c r="WJ35" s="17"/>
      <c r="WK35" s="17"/>
      <c r="WL35" s="17"/>
      <c r="WM35" s="17"/>
      <c r="WN35" s="17"/>
      <c r="WO35" s="17"/>
      <c r="WP35" s="17"/>
      <c r="WQ35" s="17"/>
      <c r="WR35" s="17"/>
      <c r="WS35" s="17"/>
      <c r="WT35" s="17"/>
      <c r="WU35" s="17"/>
      <c r="WV35" s="17"/>
      <c r="WW35" s="17"/>
      <c r="WX35" s="17"/>
      <c r="WY35" s="17"/>
      <c r="WZ35" s="17"/>
      <c r="XA35" s="17"/>
      <c r="XB35" s="17"/>
      <c r="XC35" s="17"/>
      <c r="XD35" s="17"/>
      <c r="XE35" s="17"/>
      <c r="XF35" s="17"/>
      <c r="XG35" s="17"/>
      <c r="XH35" s="17"/>
      <c r="XI35" s="17"/>
      <c r="XJ35" s="17"/>
      <c r="XK35" s="17"/>
      <c r="XL35" s="17"/>
      <c r="XM35" s="17"/>
      <c r="XN35" s="17"/>
      <c r="XO35" s="17"/>
      <c r="XP35" s="17"/>
      <c r="XQ35" s="17"/>
      <c r="XR35" s="17"/>
      <c r="XS35" s="17"/>
      <c r="XT35" s="17"/>
      <c r="XU35" s="17"/>
      <c r="XV35" s="17"/>
      <c r="XW35" s="17"/>
      <c r="XX35" s="17"/>
      <c r="XY35" s="17"/>
      <c r="XZ35" s="17"/>
      <c r="YA35" s="17"/>
      <c r="YB35" s="17"/>
      <c r="YC35" s="17"/>
      <c r="YD35" s="17"/>
      <c r="YE35" s="17"/>
      <c r="YF35" s="17"/>
      <c r="YG35" s="17"/>
      <c r="YH35" s="17"/>
      <c r="YI35" s="17"/>
      <c r="YJ35" s="17"/>
      <c r="YK35" s="17"/>
      <c r="YL35" s="17"/>
      <c r="YM35" s="17"/>
      <c r="YN35" s="17"/>
      <c r="YO35" s="17"/>
      <c r="YP35" s="17"/>
      <c r="YQ35" s="17"/>
      <c r="YR35" s="17"/>
      <c r="YS35" s="17"/>
      <c r="YT35" s="17"/>
      <c r="YU35" s="17"/>
      <c r="YV35" s="17"/>
      <c r="YW35" s="17"/>
      <c r="YX35" s="17"/>
      <c r="YY35" s="17"/>
      <c r="YZ35" s="17"/>
      <c r="ZA35" s="17"/>
      <c r="ZB35" s="17"/>
      <c r="ZC35" s="17"/>
      <c r="ZD35" s="17"/>
      <c r="ZE35" s="17"/>
      <c r="ZF35" s="17"/>
      <c r="ZG35" s="17"/>
      <c r="ZH35" s="17"/>
      <c r="ZI35" s="17"/>
      <c r="ZJ35" s="17"/>
      <c r="ZK35" s="17"/>
      <c r="ZL35" s="17"/>
      <c r="ZM35" s="17"/>
      <c r="ZN35" s="17"/>
      <c r="ZO35" s="17"/>
      <c r="ZP35" s="17"/>
      <c r="ZQ35" s="17"/>
      <c r="ZR35" s="17"/>
      <c r="ZS35" s="17"/>
      <c r="ZT35" s="17"/>
      <c r="ZU35" s="17"/>
      <c r="ZV35" s="17"/>
      <c r="ZW35" s="17"/>
      <c r="ZX35" s="17"/>
      <c r="ZY35" s="17"/>
      <c r="ZZ35" s="17"/>
      <c r="AAA35" s="17"/>
      <c r="AAB35" s="17"/>
      <c r="AAC35" s="17"/>
      <c r="AAD35" s="17"/>
      <c r="AAE35" s="17"/>
      <c r="AAF35" s="17"/>
    </row>
    <row r="36" spans="1:708" ht="110.25" customHeight="1">
      <c r="A36" s="38" t="s">
        <v>374</v>
      </c>
      <c r="B36" s="39">
        <v>21</v>
      </c>
      <c r="C36" s="40" t="s">
        <v>44</v>
      </c>
      <c r="D36" s="41">
        <v>1</v>
      </c>
      <c r="E36" s="41"/>
      <c r="F36" s="40" t="s">
        <v>64</v>
      </c>
      <c r="G36" s="135" t="s">
        <v>376</v>
      </c>
      <c r="H36" s="40" t="s">
        <v>64</v>
      </c>
      <c r="I36" s="40" t="s">
        <v>75</v>
      </c>
      <c r="J36" s="40" t="s">
        <v>377</v>
      </c>
      <c r="K36" s="42" t="s">
        <v>378</v>
      </c>
      <c r="L36" s="53" t="s">
        <v>379</v>
      </c>
      <c r="M36" s="44" t="s">
        <v>37</v>
      </c>
      <c r="N36" s="39">
        <v>2026</v>
      </c>
      <c r="O36" s="40" t="s">
        <v>76</v>
      </c>
      <c r="P36" s="40">
        <v>3</v>
      </c>
      <c r="Q36" s="40">
        <v>40</v>
      </c>
      <c r="R36" s="40" t="s">
        <v>243</v>
      </c>
      <c r="S36" s="40">
        <v>1</v>
      </c>
      <c r="T36" s="40"/>
      <c r="U36" s="41"/>
      <c r="V36" s="40">
        <v>1</v>
      </c>
      <c r="W36" s="40"/>
      <c r="X36" s="41" t="s">
        <v>375</v>
      </c>
      <c r="Y36" s="41" t="s">
        <v>406</v>
      </c>
      <c r="Z36" s="40"/>
      <c r="AA36" s="40" t="s">
        <v>57</v>
      </c>
      <c r="AB36" s="41" t="s">
        <v>76</v>
      </c>
      <c r="AC36" s="41" t="s">
        <v>409</v>
      </c>
      <c r="AD36" s="40" t="s">
        <v>112</v>
      </c>
      <c r="AE36" s="41"/>
      <c r="AF36" s="41"/>
      <c r="AG36" s="41"/>
      <c r="AH36" s="41"/>
      <c r="AI36" s="41">
        <v>1</v>
      </c>
      <c r="AJ36" s="41"/>
      <c r="AK36" s="41"/>
      <c r="AL36" s="41"/>
      <c r="AM36" s="41"/>
      <c r="AN36" s="41"/>
      <c r="AO36" s="41"/>
      <c r="AP36" s="41"/>
      <c r="AQ36" s="41"/>
      <c r="AR36" s="41"/>
      <c r="AS36" s="41"/>
    </row>
    <row r="37" spans="1:708" ht="127.5" customHeight="1">
      <c r="A37" s="30" t="s">
        <v>405</v>
      </c>
      <c r="B37" s="31">
        <v>26</v>
      </c>
      <c r="C37" s="32" t="s">
        <v>44</v>
      </c>
      <c r="D37" s="33"/>
      <c r="E37" s="33">
        <v>1</v>
      </c>
      <c r="F37" s="32" t="s">
        <v>71</v>
      </c>
      <c r="G37" s="151" t="s">
        <v>380</v>
      </c>
      <c r="H37" s="32" t="s">
        <v>64</v>
      </c>
      <c r="I37" s="32" t="s">
        <v>130</v>
      </c>
      <c r="J37" s="32" t="s">
        <v>381</v>
      </c>
      <c r="K37" s="34" t="s">
        <v>382</v>
      </c>
      <c r="L37" s="99" t="s">
        <v>209</v>
      </c>
      <c r="M37" s="36" t="s">
        <v>39</v>
      </c>
      <c r="N37" s="31">
        <v>2026</v>
      </c>
      <c r="O37" s="32" t="s">
        <v>153</v>
      </c>
      <c r="P37" s="32">
        <v>4</v>
      </c>
      <c r="Q37" s="32">
        <v>120</v>
      </c>
      <c r="R37" s="32" t="s">
        <v>334</v>
      </c>
      <c r="S37" s="32"/>
      <c r="T37" s="32">
        <v>1</v>
      </c>
      <c r="U37" s="33"/>
      <c r="V37" s="32">
        <v>1</v>
      </c>
      <c r="W37" s="32"/>
      <c r="X37" s="33" t="s">
        <v>383</v>
      </c>
      <c r="Y37" s="33"/>
      <c r="Z37" s="32"/>
      <c r="AA37" s="32" t="s">
        <v>58</v>
      </c>
      <c r="AB37" s="33" t="s">
        <v>76</v>
      </c>
      <c r="AC37" s="33" t="s">
        <v>468</v>
      </c>
      <c r="AD37" s="32" t="s">
        <v>77</v>
      </c>
      <c r="AE37" s="33"/>
      <c r="AF37" s="33"/>
      <c r="AG37" s="33"/>
      <c r="AH37" s="33"/>
      <c r="AI37" s="33"/>
      <c r="AJ37" s="33"/>
      <c r="AK37" s="33"/>
      <c r="AL37" s="33"/>
      <c r="AM37" s="33"/>
      <c r="AN37" s="33"/>
      <c r="AO37" s="33"/>
      <c r="AP37" s="33"/>
      <c r="AQ37" s="33"/>
      <c r="AR37" s="33"/>
      <c r="AS37" s="33"/>
    </row>
    <row r="38" spans="1:708" ht="74.099999999999994" customHeight="1">
      <c r="A38" s="46" t="s">
        <v>384</v>
      </c>
      <c r="B38" s="47">
        <v>4</v>
      </c>
      <c r="C38" s="48" t="s">
        <v>45</v>
      </c>
      <c r="D38" s="49">
        <v>1</v>
      </c>
      <c r="E38" s="49"/>
      <c r="F38" s="48" t="s">
        <v>71</v>
      </c>
      <c r="G38" s="139" t="s">
        <v>385</v>
      </c>
      <c r="H38" s="48" t="s">
        <v>64</v>
      </c>
      <c r="I38" s="48" t="s">
        <v>75</v>
      </c>
      <c r="J38" s="48" t="s">
        <v>386</v>
      </c>
      <c r="K38" s="50" t="s">
        <v>387</v>
      </c>
      <c r="L38" s="88" t="s">
        <v>388</v>
      </c>
      <c r="M38" s="52" t="s">
        <v>46</v>
      </c>
      <c r="N38" s="47">
        <v>2025</v>
      </c>
      <c r="O38" s="48" t="s">
        <v>76</v>
      </c>
      <c r="P38" s="48">
        <v>3</v>
      </c>
      <c r="Q38" s="48">
        <v>15</v>
      </c>
      <c r="R38" s="48" t="s">
        <v>334</v>
      </c>
      <c r="S38" s="48"/>
      <c r="T38" s="48">
        <v>1</v>
      </c>
      <c r="U38" s="49"/>
      <c r="V38" s="48">
        <v>1</v>
      </c>
      <c r="W38" s="48">
        <v>1</v>
      </c>
      <c r="X38" s="49" t="s">
        <v>389</v>
      </c>
      <c r="Y38" s="49" t="s">
        <v>455</v>
      </c>
      <c r="Z38" s="48"/>
      <c r="AA38" s="48" t="s">
        <v>68</v>
      </c>
      <c r="AB38" s="49" t="s">
        <v>76</v>
      </c>
      <c r="AC38" s="49" t="s">
        <v>456</v>
      </c>
      <c r="AD38" s="48" t="s">
        <v>77</v>
      </c>
      <c r="AE38" s="49"/>
      <c r="AF38" s="49"/>
      <c r="AG38" s="49"/>
      <c r="AH38" s="49"/>
      <c r="AI38" s="49"/>
      <c r="AJ38" s="49"/>
      <c r="AK38" s="49"/>
      <c r="AL38" s="49"/>
      <c r="AM38" s="49"/>
      <c r="AN38" s="49"/>
      <c r="AO38" s="49"/>
      <c r="AP38" s="49"/>
      <c r="AQ38" s="49"/>
      <c r="AR38" s="49"/>
      <c r="AS38" s="49"/>
    </row>
    <row r="39" spans="1:708" ht="74.099999999999994" customHeight="1">
      <c r="A39" s="38" t="s">
        <v>390</v>
      </c>
      <c r="B39" s="39">
        <v>4</v>
      </c>
      <c r="C39" s="40" t="s">
        <v>45</v>
      </c>
      <c r="D39" s="41">
        <v>1</v>
      </c>
      <c r="E39" s="41"/>
      <c r="F39" s="40" t="s">
        <v>71</v>
      </c>
      <c r="G39" s="162" t="s">
        <v>391</v>
      </c>
      <c r="H39" s="40" t="s">
        <v>64</v>
      </c>
      <c r="I39" s="40" t="s">
        <v>75</v>
      </c>
      <c r="J39" s="40" t="s">
        <v>392</v>
      </c>
      <c r="K39" s="42" t="s">
        <v>393</v>
      </c>
      <c r="L39" s="53"/>
      <c r="M39" s="44" t="s">
        <v>394</v>
      </c>
      <c r="N39" s="39">
        <v>2026</v>
      </c>
      <c r="O39" s="40" t="s">
        <v>76</v>
      </c>
      <c r="P39" s="40">
        <v>3</v>
      </c>
      <c r="Q39" s="40">
        <v>16</v>
      </c>
      <c r="R39" s="40" t="s">
        <v>334</v>
      </c>
      <c r="S39" s="40">
        <v>1</v>
      </c>
      <c r="T39" s="40"/>
      <c r="U39" s="41"/>
      <c r="V39" s="40"/>
      <c r="W39" s="40">
        <v>1</v>
      </c>
      <c r="X39" s="41" t="s">
        <v>395</v>
      </c>
      <c r="Y39" s="41" t="s">
        <v>454</v>
      </c>
      <c r="Z39" s="40"/>
      <c r="AA39" s="40" t="s">
        <v>238</v>
      </c>
      <c r="AB39" s="41" t="s">
        <v>76</v>
      </c>
      <c r="AC39" s="41" t="s">
        <v>396</v>
      </c>
      <c r="AD39" s="40" t="s">
        <v>77</v>
      </c>
      <c r="AE39" s="41"/>
      <c r="AF39" s="41"/>
      <c r="AG39" s="41"/>
      <c r="AH39" s="41"/>
      <c r="AI39" s="41"/>
      <c r="AJ39" s="41"/>
      <c r="AK39" s="41"/>
      <c r="AL39" s="41"/>
      <c r="AM39" s="41"/>
      <c r="AN39" s="41"/>
      <c r="AO39" s="41"/>
      <c r="AP39" s="41"/>
      <c r="AQ39" s="41"/>
      <c r="AR39" s="41"/>
      <c r="AS39" s="41"/>
    </row>
    <row r="40" spans="1:708" ht="96" customHeight="1">
      <c r="A40" s="30" t="s">
        <v>397</v>
      </c>
      <c r="B40" s="31">
        <v>12</v>
      </c>
      <c r="C40" s="32" t="s">
        <v>45</v>
      </c>
      <c r="D40" s="33">
        <v>1</v>
      </c>
      <c r="E40" s="33"/>
      <c r="F40" s="32" t="s">
        <v>404</v>
      </c>
      <c r="G40" s="151" t="s">
        <v>398</v>
      </c>
      <c r="H40" s="32" t="s">
        <v>74</v>
      </c>
      <c r="I40" s="32" t="s">
        <v>75</v>
      </c>
      <c r="J40" s="32" t="s">
        <v>399</v>
      </c>
      <c r="K40" s="34" t="s">
        <v>400</v>
      </c>
      <c r="L40" s="99" t="s">
        <v>401</v>
      </c>
      <c r="M40" s="36" t="s">
        <v>45</v>
      </c>
      <c r="N40" s="31">
        <v>2025</v>
      </c>
      <c r="O40" s="32" t="s">
        <v>76</v>
      </c>
      <c r="P40" s="32"/>
      <c r="Q40" s="32">
        <v>32</v>
      </c>
      <c r="R40" s="32" t="s">
        <v>334</v>
      </c>
      <c r="S40" s="32">
        <v>1</v>
      </c>
      <c r="T40" s="32"/>
      <c r="U40" s="33" t="s">
        <v>402</v>
      </c>
      <c r="V40" s="32">
        <v>1</v>
      </c>
      <c r="W40" s="32"/>
      <c r="X40" s="33" t="s">
        <v>403</v>
      </c>
      <c r="Y40" s="33"/>
      <c r="Z40" s="32"/>
      <c r="AA40" s="32" t="s">
        <v>236</v>
      </c>
      <c r="AB40" s="33" t="s">
        <v>212</v>
      </c>
      <c r="AC40" s="33" t="s">
        <v>408</v>
      </c>
      <c r="AD40" s="32" t="s">
        <v>112</v>
      </c>
      <c r="AE40" s="33"/>
      <c r="AF40" s="33"/>
      <c r="AG40" s="33"/>
      <c r="AH40" s="33"/>
      <c r="AI40" s="33"/>
      <c r="AJ40" s="33"/>
      <c r="AK40" s="33"/>
      <c r="AL40" s="33"/>
      <c r="AM40" s="33"/>
      <c r="AN40" s="33"/>
      <c r="AO40" s="33"/>
      <c r="AP40" s="33"/>
      <c r="AQ40" s="33"/>
      <c r="AR40" s="33"/>
      <c r="AS40" s="33"/>
    </row>
    <row r="41" spans="1:708" ht="74.099999999999994" customHeight="1">
      <c r="A41" s="38" t="s">
        <v>410</v>
      </c>
      <c r="B41" s="39">
        <v>18</v>
      </c>
      <c r="C41" s="40" t="s">
        <v>45</v>
      </c>
      <c r="D41" s="41">
        <v>1</v>
      </c>
      <c r="E41" s="41"/>
      <c r="F41" s="40" t="s">
        <v>64</v>
      </c>
      <c r="G41" s="135" t="s">
        <v>411</v>
      </c>
      <c r="H41" s="40" t="s">
        <v>64</v>
      </c>
      <c r="I41" s="40" t="s">
        <v>75</v>
      </c>
      <c r="J41" s="40" t="s">
        <v>412</v>
      </c>
      <c r="K41" s="42" t="s">
        <v>413</v>
      </c>
      <c r="L41" s="53" t="s">
        <v>414</v>
      </c>
      <c r="M41" s="44" t="s">
        <v>37</v>
      </c>
      <c r="N41" s="39">
        <v>2026</v>
      </c>
      <c r="O41" s="40" t="s">
        <v>76</v>
      </c>
      <c r="P41" s="40">
        <v>3</v>
      </c>
      <c r="Q41" s="40">
        <v>50</v>
      </c>
      <c r="R41" s="40" t="s">
        <v>243</v>
      </c>
      <c r="S41" s="40">
        <v>1</v>
      </c>
      <c r="T41" s="40"/>
      <c r="U41" s="41" t="s">
        <v>415</v>
      </c>
      <c r="V41" s="40">
        <v>1</v>
      </c>
      <c r="W41" s="40">
        <v>1</v>
      </c>
      <c r="X41" s="41" t="s">
        <v>416</v>
      </c>
      <c r="Y41" s="41" t="s">
        <v>454</v>
      </c>
      <c r="Z41" s="40"/>
      <c r="AA41" s="40" t="s">
        <v>57</v>
      </c>
      <c r="AB41" s="41" t="s">
        <v>212</v>
      </c>
      <c r="AC41" s="41" t="s">
        <v>417</v>
      </c>
      <c r="AD41" s="40" t="s">
        <v>112</v>
      </c>
      <c r="AE41" s="41"/>
      <c r="AF41" s="41"/>
      <c r="AG41" s="41"/>
      <c r="AH41" s="41"/>
      <c r="AI41" s="41"/>
      <c r="AJ41" s="41"/>
      <c r="AK41" s="41"/>
      <c r="AL41" s="41"/>
      <c r="AM41" s="41"/>
      <c r="AN41" s="41"/>
      <c r="AO41" s="41"/>
      <c r="AP41" s="41"/>
      <c r="AQ41" s="41"/>
      <c r="AR41" s="41"/>
      <c r="AS41" s="41"/>
    </row>
    <row r="42" spans="1:708" ht="74.099999999999994" customHeight="1">
      <c r="A42" s="38" t="s">
        <v>419</v>
      </c>
      <c r="B42" s="39">
        <v>18</v>
      </c>
      <c r="C42" s="40" t="s">
        <v>45</v>
      </c>
      <c r="D42" s="41"/>
      <c r="E42" s="41">
        <v>1</v>
      </c>
      <c r="F42" s="40" t="s">
        <v>72</v>
      </c>
      <c r="G42" s="161" t="s">
        <v>420</v>
      </c>
      <c r="H42" s="40" t="s">
        <v>64</v>
      </c>
      <c r="I42" s="40" t="s">
        <v>75</v>
      </c>
      <c r="J42" s="40" t="s">
        <v>421</v>
      </c>
      <c r="K42" s="42" t="s">
        <v>422</v>
      </c>
      <c r="L42" s="53"/>
      <c r="M42" s="44" t="s">
        <v>39</v>
      </c>
      <c r="N42" s="39">
        <v>2027</v>
      </c>
      <c r="O42" s="40" t="s">
        <v>153</v>
      </c>
      <c r="P42" s="40">
        <v>1</v>
      </c>
      <c r="Q42" s="40" t="s">
        <v>423</v>
      </c>
      <c r="R42" s="40" t="s">
        <v>334</v>
      </c>
      <c r="S42" s="40">
        <v>1</v>
      </c>
      <c r="T42" s="40"/>
      <c r="U42" s="41" t="s">
        <v>424</v>
      </c>
      <c r="V42" s="40">
        <v>1</v>
      </c>
      <c r="W42" s="40"/>
      <c r="X42" s="41" t="s">
        <v>425</v>
      </c>
      <c r="Y42" s="41" t="s">
        <v>455</v>
      </c>
      <c r="Z42" s="40"/>
      <c r="AA42" s="40" t="s">
        <v>57</v>
      </c>
      <c r="AB42" s="41" t="s">
        <v>212</v>
      </c>
      <c r="AC42" s="41" t="s">
        <v>476</v>
      </c>
      <c r="AD42" s="40" t="s">
        <v>112</v>
      </c>
      <c r="AE42" s="41"/>
      <c r="AF42" s="41"/>
      <c r="AG42" s="41"/>
      <c r="AH42" s="41"/>
      <c r="AI42" s="41"/>
      <c r="AJ42" s="41"/>
      <c r="AK42" s="41"/>
      <c r="AL42" s="41"/>
      <c r="AM42" s="41"/>
      <c r="AN42" s="41"/>
      <c r="AO42" s="41"/>
      <c r="AP42" s="41"/>
      <c r="AQ42" s="41"/>
      <c r="AR42" s="41"/>
      <c r="AS42" s="41"/>
    </row>
    <row r="43" spans="1:708" s="169" customFormat="1" ht="74.099999999999994" customHeight="1">
      <c r="A43" s="54" t="s">
        <v>426</v>
      </c>
      <c r="B43" s="55">
        <v>30</v>
      </c>
      <c r="C43" s="56" t="s">
        <v>45</v>
      </c>
      <c r="D43" s="57"/>
      <c r="E43" s="57">
        <v>1</v>
      </c>
      <c r="F43" s="56" t="s">
        <v>71</v>
      </c>
      <c r="G43" s="142"/>
      <c r="H43" s="56" t="s">
        <v>64</v>
      </c>
      <c r="I43" s="56" t="s">
        <v>75</v>
      </c>
      <c r="J43" s="56" t="s">
        <v>427</v>
      </c>
      <c r="K43" s="58" t="s">
        <v>428</v>
      </c>
      <c r="L43" s="59"/>
      <c r="M43" s="60" t="s">
        <v>37</v>
      </c>
      <c r="N43" s="55">
        <v>2026</v>
      </c>
      <c r="O43" s="56" t="s">
        <v>76</v>
      </c>
      <c r="P43" s="163" t="s">
        <v>429</v>
      </c>
      <c r="Q43" s="56">
        <v>20</v>
      </c>
      <c r="R43" s="56" t="s">
        <v>334</v>
      </c>
      <c r="S43" s="56">
        <v>1</v>
      </c>
      <c r="T43" s="56"/>
      <c r="U43" s="57" t="s">
        <v>430</v>
      </c>
      <c r="V43" s="56">
        <v>1</v>
      </c>
      <c r="W43" s="56">
        <v>1</v>
      </c>
      <c r="X43" s="57" t="s">
        <v>431</v>
      </c>
      <c r="Y43" s="57" t="s">
        <v>469</v>
      </c>
      <c r="Z43" s="56"/>
      <c r="AA43" s="56" t="s">
        <v>59</v>
      </c>
      <c r="AB43" s="57" t="s">
        <v>76</v>
      </c>
      <c r="AC43" s="57" t="s">
        <v>510</v>
      </c>
      <c r="AD43" s="56" t="s">
        <v>112</v>
      </c>
      <c r="AE43" s="57"/>
      <c r="AF43" s="57"/>
      <c r="AG43" s="57"/>
      <c r="AH43" s="57">
        <v>1</v>
      </c>
      <c r="AI43" s="57">
        <v>1</v>
      </c>
      <c r="AJ43" s="57"/>
      <c r="AK43" s="57"/>
      <c r="AL43" s="57"/>
      <c r="AM43" s="57"/>
      <c r="AN43" s="57"/>
      <c r="AO43" s="57">
        <v>1</v>
      </c>
      <c r="AP43" s="57">
        <v>1</v>
      </c>
      <c r="AQ43" s="57"/>
      <c r="AR43" s="57"/>
      <c r="AS43" s="57"/>
    </row>
    <row r="44" spans="1:708" ht="74.099999999999994" customHeight="1">
      <c r="A44" s="54" t="s">
        <v>439</v>
      </c>
      <c r="B44" s="55">
        <v>13</v>
      </c>
      <c r="C44" s="56" t="s">
        <v>46</v>
      </c>
      <c r="D44" s="57">
        <v>1</v>
      </c>
      <c r="E44" s="57"/>
      <c r="F44" s="56" t="s">
        <v>440</v>
      </c>
      <c r="G44" s="142" t="s">
        <v>441</v>
      </c>
      <c r="H44" s="56" t="s">
        <v>74</v>
      </c>
      <c r="I44" s="56" t="s">
        <v>130</v>
      </c>
      <c r="J44" s="56" t="s">
        <v>442</v>
      </c>
      <c r="K44" s="58" t="s">
        <v>443</v>
      </c>
      <c r="L44" s="59" t="s">
        <v>444</v>
      </c>
      <c r="M44" s="60" t="s">
        <v>38</v>
      </c>
      <c r="N44" s="55">
        <v>2026</v>
      </c>
      <c r="O44" s="56" t="s">
        <v>76</v>
      </c>
      <c r="P44" s="163" t="s">
        <v>445</v>
      </c>
      <c r="Q44" s="56">
        <v>30</v>
      </c>
      <c r="R44" s="56" t="s">
        <v>210</v>
      </c>
      <c r="S44" s="56"/>
      <c r="T44" s="56">
        <v>1</v>
      </c>
      <c r="U44" s="57" t="s">
        <v>446</v>
      </c>
      <c r="V44" s="56">
        <v>1</v>
      </c>
      <c r="W44" s="56"/>
      <c r="X44" s="57"/>
      <c r="Y44" s="57"/>
      <c r="Z44" s="56" t="s">
        <v>466</v>
      </c>
      <c r="AA44" s="56" t="s">
        <v>59</v>
      </c>
      <c r="AB44" s="57" t="s">
        <v>76</v>
      </c>
      <c r="AC44" s="57" t="s">
        <v>465</v>
      </c>
      <c r="AD44" s="56" t="s">
        <v>112</v>
      </c>
      <c r="AE44" s="57">
        <v>1</v>
      </c>
      <c r="AF44" s="57"/>
      <c r="AG44" s="57"/>
      <c r="AH44" s="57"/>
      <c r="AI44" s="57"/>
      <c r="AJ44" s="57"/>
      <c r="AK44" s="57"/>
      <c r="AL44" s="57"/>
      <c r="AM44" s="57"/>
      <c r="AN44" s="57"/>
      <c r="AO44" s="57"/>
      <c r="AP44" s="57"/>
      <c r="AQ44" s="57"/>
      <c r="AR44" s="57"/>
      <c r="AS44" s="57"/>
    </row>
    <row r="45" spans="1:708" ht="74.099999999999994" customHeight="1">
      <c r="A45" s="152" t="s">
        <v>447</v>
      </c>
      <c r="B45" s="153">
        <v>10</v>
      </c>
      <c r="C45" s="154" t="s">
        <v>46</v>
      </c>
      <c r="D45" s="155">
        <v>1</v>
      </c>
      <c r="E45" s="155"/>
      <c r="F45" s="154" t="s">
        <v>64</v>
      </c>
      <c r="G45" s="156" t="s">
        <v>448</v>
      </c>
      <c r="H45" s="154" t="s">
        <v>64</v>
      </c>
      <c r="I45" s="154" t="s">
        <v>75</v>
      </c>
      <c r="J45" s="154" t="s">
        <v>449</v>
      </c>
      <c r="K45" s="157" t="s">
        <v>450</v>
      </c>
      <c r="L45" s="158" t="s">
        <v>451</v>
      </c>
      <c r="M45" s="159" t="s">
        <v>152</v>
      </c>
      <c r="N45" s="153">
        <v>2026</v>
      </c>
      <c r="O45" s="154" t="s">
        <v>76</v>
      </c>
      <c r="P45" s="160">
        <v>45750</v>
      </c>
      <c r="Q45" s="154">
        <v>25</v>
      </c>
      <c r="R45" s="154" t="s">
        <v>243</v>
      </c>
      <c r="S45" s="154">
        <v>1</v>
      </c>
      <c r="T45" s="154"/>
      <c r="U45" s="155"/>
      <c r="V45" s="154">
        <v>1</v>
      </c>
      <c r="W45" s="154"/>
      <c r="X45" s="155" t="s">
        <v>452</v>
      </c>
      <c r="Y45" s="155"/>
      <c r="Z45" s="56"/>
      <c r="AA45" s="154" t="s">
        <v>95</v>
      </c>
      <c r="AB45" s="155" t="s">
        <v>212</v>
      </c>
      <c r="AC45" s="155" t="s">
        <v>457</v>
      </c>
      <c r="AD45" s="154" t="s">
        <v>453</v>
      </c>
      <c r="AE45" s="155"/>
      <c r="AF45" s="155"/>
      <c r="AG45" s="155"/>
      <c r="AH45" s="155"/>
      <c r="AI45" s="155"/>
      <c r="AJ45" s="155"/>
      <c r="AK45" s="155"/>
      <c r="AL45" s="155"/>
      <c r="AM45" s="155"/>
      <c r="AN45" s="155"/>
      <c r="AO45" s="155"/>
      <c r="AP45" s="155"/>
      <c r="AQ45" s="155"/>
      <c r="AR45" s="155"/>
      <c r="AS45" s="155"/>
    </row>
    <row r="46" spans="1:708" s="144" customFormat="1" ht="74.099999999999994" customHeight="1">
      <c r="A46" s="165" t="s">
        <v>437</v>
      </c>
      <c r="B46" s="93">
        <v>10</v>
      </c>
      <c r="C46" s="94" t="s">
        <v>46</v>
      </c>
      <c r="D46" s="95">
        <v>1</v>
      </c>
      <c r="E46" s="95"/>
      <c r="F46" s="94" t="s">
        <v>31</v>
      </c>
      <c r="G46" s="166" t="s">
        <v>436</v>
      </c>
      <c r="H46" s="94" t="s">
        <v>74</v>
      </c>
      <c r="I46" s="94" t="s">
        <v>75</v>
      </c>
      <c r="J46" s="94" t="s">
        <v>432</v>
      </c>
      <c r="K46" s="167" t="s">
        <v>433</v>
      </c>
      <c r="L46" s="96" t="s">
        <v>434</v>
      </c>
      <c r="M46" s="97" t="s">
        <v>39</v>
      </c>
      <c r="N46" s="93">
        <v>2027</v>
      </c>
      <c r="O46" s="94" t="s">
        <v>76</v>
      </c>
      <c r="P46" s="94">
        <v>3</v>
      </c>
      <c r="Q46" s="94">
        <v>180</v>
      </c>
      <c r="R46" s="94" t="s">
        <v>210</v>
      </c>
      <c r="S46" s="94"/>
      <c r="T46" s="94">
        <v>1</v>
      </c>
      <c r="U46" s="95" t="s">
        <v>435</v>
      </c>
      <c r="V46" s="94">
        <v>1</v>
      </c>
      <c r="W46" s="94"/>
      <c r="X46" s="95" t="s">
        <v>438</v>
      </c>
      <c r="Y46" s="95" t="s">
        <v>478</v>
      </c>
      <c r="Z46" s="94" t="s">
        <v>466</v>
      </c>
      <c r="AA46" s="94" t="s">
        <v>57</v>
      </c>
      <c r="AB46" s="95" t="s">
        <v>212</v>
      </c>
      <c r="AC46" s="95" t="s">
        <v>479</v>
      </c>
      <c r="AD46" s="94" t="s">
        <v>112</v>
      </c>
      <c r="AE46" s="95">
        <v>1</v>
      </c>
      <c r="AF46" s="95">
        <v>1</v>
      </c>
      <c r="AG46" s="95">
        <v>1</v>
      </c>
      <c r="AH46" s="95"/>
      <c r="AI46" s="95">
        <v>1</v>
      </c>
      <c r="AJ46" s="95"/>
      <c r="AK46" s="95"/>
      <c r="AL46" s="95"/>
      <c r="AM46" s="95"/>
      <c r="AN46" s="95">
        <v>1</v>
      </c>
      <c r="AO46" s="95"/>
      <c r="AP46" s="95"/>
      <c r="AQ46" s="95"/>
      <c r="AR46" s="95"/>
      <c r="AS46" s="95"/>
    </row>
    <row r="47" spans="1:708" ht="74.099999999999994" customHeight="1">
      <c r="A47" s="46" t="s">
        <v>458</v>
      </c>
      <c r="B47" s="47">
        <v>14</v>
      </c>
      <c r="C47" s="48" t="s">
        <v>46</v>
      </c>
      <c r="D47" s="49">
        <v>1</v>
      </c>
      <c r="E47" s="49"/>
      <c r="F47" s="48" t="s">
        <v>64</v>
      </c>
      <c r="G47" s="164" t="s">
        <v>459</v>
      </c>
      <c r="H47" s="48" t="s">
        <v>64</v>
      </c>
      <c r="I47" s="48" t="s">
        <v>75</v>
      </c>
      <c r="J47" s="48" t="s">
        <v>460</v>
      </c>
      <c r="K47" s="50" t="s">
        <v>461</v>
      </c>
      <c r="L47" s="88" t="s">
        <v>462</v>
      </c>
      <c r="M47" s="52" t="s">
        <v>37</v>
      </c>
      <c r="N47" s="47">
        <v>2026</v>
      </c>
      <c r="O47" s="48" t="s">
        <v>76</v>
      </c>
      <c r="P47" s="48">
        <v>2</v>
      </c>
      <c r="Q47" s="48">
        <v>40</v>
      </c>
      <c r="R47" s="48" t="s">
        <v>243</v>
      </c>
      <c r="S47" s="48"/>
      <c r="T47" s="48">
        <v>1</v>
      </c>
      <c r="U47" s="49" t="s">
        <v>463</v>
      </c>
      <c r="V47" s="48">
        <v>1</v>
      </c>
      <c r="W47" s="48"/>
      <c r="X47" s="49" t="s">
        <v>464</v>
      </c>
      <c r="Y47" s="49"/>
      <c r="Z47" s="48"/>
      <c r="AA47" s="48" t="s">
        <v>95</v>
      </c>
      <c r="AB47" s="49" t="s">
        <v>76</v>
      </c>
      <c r="AC47" s="49" t="s">
        <v>467</v>
      </c>
      <c r="AD47" s="48" t="s">
        <v>112</v>
      </c>
      <c r="AE47" s="49"/>
      <c r="AF47" s="49"/>
      <c r="AG47" s="49"/>
      <c r="AH47" s="49"/>
      <c r="AI47" s="49"/>
      <c r="AJ47" s="49"/>
      <c r="AK47" s="49"/>
      <c r="AL47" s="49"/>
      <c r="AM47" s="49"/>
      <c r="AN47" s="49"/>
      <c r="AO47" s="49"/>
      <c r="AP47" s="49"/>
      <c r="AQ47" s="49"/>
      <c r="AR47" s="49"/>
      <c r="AS47" s="49"/>
    </row>
    <row r="48" spans="1:708" s="169" customFormat="1" ht="74.099999999999994" customHeight="1">
      <c r="A48" s="54" t="s">
        <v>470</v>
      </c>
      <c r="B48" s="55">
        <v>22</v>
      </c>
      <c r="C48" s="56" t="s">
        <v>46</v>
      </c>
      <c r="D48" s="57">
        <v>1</v>
      </c>
      <c r="E48" s="57"/>
      <c r="F48" s="56" t="s">
        <v>31</v>
      </c>
      <c r="G48" s="168" t="s">
        <v>471</v>
      </c>
      <c r="H48" s="56" t="s">
        <v>74</v>
      </c>
      <c r="I48" s="56" t="s">
        <v>130</v>
      </c>
      <c r="J48" s="56" t="s">
        <v>472</v>
      </c>
      <c r="K48" s="58" t="s">
        <v>473</v>
      </c>
      <c r="L48" s="59" t="s">
        <v>474</v>
      </c>
      <c r="M48" s="60" t="s">
        <v>39</v>
      </c>
      <c r="N48" s="55">
        <v>2026</v>
      </c>
      <c r="O48" s="56" t="s">
        <v>153</v>
      </c>
      <c r="P48" s="56">
        <v>3</v>
      </c>
      <c r="Q48" s="56">
        <v>55</v>
      </c>
      <c r="R48" s="56" t="s">
        <v>334</v>
      </c>
      <c r="S48" s="56">
        <v>1</v>
      </c>
      <c r="T48" s="56"/>
      <c r="U48" s="57" t="s">
        <v>475</v>
      </c>
      <c r="V48" s="56">
        <v>1</v>
      </c>
      <c r="W48" s="56">
        <v>1</v>
      </c>
      <c r="X48" s="57"/>
      <c r="Y48" s="57" t="s">
        <v>490</v>
      </c>
      <c r="Z48" s="56" t="s">
        <v>499</v>
      </c>
      <c r="AA48" s="56" t="s">
        <v>59</v>
      </c>
      <c r="AB48" s="57" t="s">
        <v>76</v>
      </c>
      <c r="AC48" s="57" t="s">
        <v>491</v>
      </c>
      <c r="AD48" s="56" t="s">
        <v>112</v>
      </c>
      <c r="AE48" s="57"/>
      <c r="AF48" s="57"/>
      <c r="AG48" s="57"/>
      <c r="AH48" s="57"/>
      <c r="AI48" s="57"/>
      <c r="AJ48" s="57"/>
      <c r="AK48" s="57"/>
      <c r="AL48" s="57"/>
      <c r="AM48" s="57"/>
      <c r="AN48" s="57"/>
      <c r="AO48" s="57"/>
      <c r="AP48" s="57"/>
      <c r="AQ48" s="57"/>
      <c r="AR48" s="57"/>
      <c r="AS48" s="57"/>
    </row>
    <row r="49" spans="1:45" s="172" customFormat="1" ht="74.099999999999994" customHeight="1">
      <c r="A49" s="46" t="s">
        <v>480</v>
      </c>
      <c r="B49" s="47">
        <v>27</v>
      </c>
      <c r="C49" s="48" t="s">
        <v>46</v>
      </c>
      <c r="D49" s="49"/>
      <c r="E49" s="49">
        <v>1</v>
      </c>
      <c r="F49" s="48" t="s">
        <v>71</v>
      </c>
      <c r="G49" s="170" t="s">
        <v>481</v>
      </c>
      <c r="H49" s="48" t="s">
        <v>64</v>
      </c>
      <c r="I49" s="48" t="s">
        <v>75</v>
      </c>
      <c r="J49" s="48" t="s">
        <v>482</v>
      </c>
      <c r="K49" s="50" t="s">
        <v>108</v>
      </c>
      <c r="L49" s="88" t="s">
        <v>483</v>
      </c>
      <c r="M49" s="52" t="s">
        <v>39</v>
      </c>
      <c r="N49" s="47">
        <v>2026</v>
      </c>
      <c r="O49" s="48" t="s">
        <v>76</v>
      </c>
      <c r="P49" s="48">
        <v>1</v>
      </c>
      <c r="Q49" s="48">
        <v>100</v>
      </c>
      <c r="R49" s="48" t="s">
        <v>334</v>
      </c>
      <c r="S49" s="48">
        <v>1</v>
      </c>
      <c r="T49" s="48"/>
      <c r="U49" s="171">
        <v>3</v>
      </c>
      <c r="V49" s="48">
        <v>1</v>
      </c>
      <c r="W49" s="48">
        <v>1</v>
      </c>
      <c r="X49" s="49" t="s">
        <v>484</v>
      </c>
      <c r="Y49" s="49" t="s">
        <v>498</v>
      </c>
      <c r="Z49" s="48" t="s">
        <v>499</v>
      </c>
      <c r="AA49" s="48" t="s">
        <v>59</v>
      </c>
      <c r="AB49" s="49" t="s">
        <v>76</v>
      </c>
      <c r="AC49" s="49"/>
      <c r="AD49" s="48" t="s">
        <v>77</v>
      </c>
      <c r="AE49" s="49"/>
      <c r="AF49" s="49"/>
      <c r="AG49" s="49">
        <v>1</v>
      </c>
      <c r="AH49" s="49"/>
      <c r="AI49" s="49">
        <v>1</v>
      </c>
      <c r="AJ49" s="49"/>
      <c r="AK49" s="49"/>
      <c r="AL49" s="49"/>
      <c r="AM49" s="49"/>
      <c r="AN49" s="49">
        <v>1</v>
      </c>
      <c r="AO49" s="49">
        <v>1</v>
      </c>
      <c r="AP49" s="49"/>
      <c r="AQ49" s="49"/>
      <c r="AR49" s="49"/>
      <c r="AS49" s="49"/>
    </row>
    <row r="50" spans="1:45" s="144" customFormat="1" ht="74.099999999999994" customHeight="1">
      <c r="A50" s="38" t="s">
        <v>485</v>
      </c>
      <c r="B50" s="39">
        <v>7</v>
      </c>
      <c r="C50" s="40" t="s">
        <v>46</v>
      </c>
      <c r="D50" s="41"/>
      <c r="E50" s="41">
        <v>1</v>
      </c>
      <c r="F50" s="40" t="s">
        <v>71</v>
      </c>
      <c r="G50" s="162" t="s">
        <v>486</v>
      </c>
      <c r="H50" s="40" t="s">
        <v>64</v>
      </c>
      <c r="I50" s="40" t="s">
        <v>130</v>
      </c>
      <c r="J50" s="40" t="s">
        <v>488</v>
      </c>
      <c r="K50" s="42" t="s">
        <v>487</v>
      </c>
      <c r="L50" s="53" t="s">
        <v>489</v>
      </c>
      <c r="M50" s="44" t="s">
        <v>38</v>
      </c>
      <c r="N50" s="39">
        <v>2026</v>
      </c>
      <c r="O50" s="40" t="s">
        <v>76</v>
      </c>
      <c r="P50" s="40">
        <v>0</v>
      </c>
      <c r="Q50" s="40">
        <v>17</v>
      </c>
      <c r="R50" s="40" t="s">
        <v>334</v>
      </c>
      <c r="S50" s="40">
        <v>1</v>
      </c>
      <c r="T50" s="40"/>
      <c r="U50" s="183" t="s">
        <v>125</v>
      </c>
      <c r="V50" s="40">
        <v>1</v>
      </c>
      <c r="W50" s="40"/>
      <c r="X50" s="41" t="s">
        <v>125</v>
      </c>
      <c r="Y50" s="41" t="s">
        <v>529</v>
      </c>
      <c r="Z50" s="40"/>
      <c r="AA50" s="40" t="s">
        <v>68</v>
      </c>
      <c r="AB50" s="41" t="s">
        <v>76</v>
      </c>
      <c r="AC50" s="41" t="s">
        <v>532</v>
      </c>
      <c r="AD50" s="40" t="s">
        <v>77</v>
      </c>
      <c r="AE50" s="41"/>
      <c r="AF50" s="41"/>
      <c r="AG50" s="41"/>
      <c r="AH50" s="41"/>
      <c r="AI50" s="41"/>
      <c r="AJ50" s="41"/>
      <c r="AK50" s="41"/>
      <c r="AL50" s="41"/>
      <c r="AM50" s="41"/>
      <c r="AN50" s="41"/>
      <c r="AO50" s="41"/>
      <c r="AP50" s="41"/>
      <c r="AQ50" s="41"/>
      <c r="AR50" s="41"/>
      <c r="AS50" s="41"/>
    </row>
    <row r="51" spans="1:45" s="172" customFormat="1" ht="74.099999999999994" customHeight="1">
      <c r="A51" s="46" t="s">
        <v>492</v>
      </c>
      <c r="B51" s="47">
        <v>14</v>
      </c>
      <c r="C51" s="48" t="s">
        <v>47</v>
      </c>
      <c r="D51" s="49">
        <v>1</v>
      </c>
      <c r="E51" s="49"/>
      <c r="F51" s="48" t="s">
        <v>64</v>
      </c>
      <c r="G51" s="170" t="s">
        <v>493</v>
      </c>
      <c r="H51" s="48" t="s">
        <v>64</v>
      </c>
      <c r="I51" s="48" t="s">
        <v>75</v>
      </c>
      <c r="J51" s="48" t="s">
        <v>494</v>
      </c>
      <c r="K51" s="50" t="s">
        <v>495</v>
      </c>
      <c r="L51" s="88" t="s">
        <v>496</v>
      </c>
      <c r="M51" s="52" t="s">
        <v>48</v>
      </c>
      <c r="N51" s="47">
        <v>2025</v>
      </c>
      <c r="O51" s="48" t="s">
        <v>76</v>
      </c>
      <c r="P51" s="48">
        <v>2</v>
      </c>
      <c r="Q51" s="48">
        <v>15</v>
      </c>
      <c r="R51" s="48" t="s">
        <v>243</v>
      </c>
      <c r="S51" s="48"/>
      <c r="T51" s="48">
        <v>1</v>
      </c>
      <c r="U51" s="171">
        <v>5</v>
      </c>
      <c r="V51" s="48">
        <v>1</v>
      </c>
      <c r="W51" s="48">
        <v>1</v>
      </c>
      <c r="X51" s="49" t="s">
        <v>497</v>
      </c>
      <c r="Y51" s="49" t="s">
        <v>524</v>
      </c>
      <c r="Z51" s="48" t="s">
        <v>499</v>
      </c>
      <c r="AA51" s="48" t="s">
        <v>59</v>
      </c>
      <c r="AB51" s="49" t="s">
        <v>76</v>
      </c>
      <c r="AC51" s="49" t="s">
        <v>511</v>
      </c>
      <c r="AD51" s="48" t="s">
        <v>77</v>
      </c>
      <c r="AE51" s="49">
        <v>1</v>
      </c>
      <c r="AF51" s="49"/>
      <c r="AG51" s="49"/>
      <c r="AH51" s="49"/>
      <c r="AI51" s="49"/>
      <c r="AJ51" s="49"/>
      <c r="AK51" s="49"/>
      <c r="AL51" s="49"/>
      <c r="AM51" s="49"/>
      <c r="AN51" s="49"/>
      <c r="AO51" s="49"/>
      <c r="AP51" s="49"/>
      <c r="AQ51" s="49"/>
      <c r="AR51" s="49"/>
      <c r="AS51" s="49"/>
    </row>
    <row r="52" spans="1:45" s="172" customFormat="1" ht="74.099999999999994" customHeight="1">
      <c r="A52" s="46" t="s">
        <v>500</v>
      </c>
      <c r="B52" s="47">
        <v>20</v>
      </c>
      <c r="C52" s="48" t="s">
        <v>47</v>
      </c>
      <c r="D52" s="49"/>
      <c r="E52" s="49">
        <v>1</v>
      </c>
      <c r="F52" s="48" t="s">
        <v>71</v>
      </c>
      <c r="G52" s="170" t="s">
        <v>501</v>
      </c>
      <c r="H52" s="48" t="s">
        <v>64</v>
      </c>
      <c r="I52" s="48" t="s">
        <v>130</v>
      </c>
      <c r="J52" s="48" t="s">
        <v>502</v>
      </c>
      <c r="K52" s="50" t="s">
        <v>503</v>
      </c>
      <c r="L52" s="88" t="s">
        <v>504</v>
      </c>
      <c r="M52" s="52" t="s">
        <v>37</v>
      </c>
      <c r="N52" s="47">
        <v>2026</v>
      </c>
      <c r="O52" s="48" t="s">
        <v>76</v>
      </c>
      <c r="P52" s="48">
        <v>2</v>
      </c>
      <c r="Q52" s="48">
        <v>20</v>
      </c>
      <c r="R52" s="48" t="s">
        <v>334</v>
      </c>
      <c r="S52" s="48">
        <v>1</v>
      </c>
      <c r="T52" s="48"/>
      <c r="U52" s="171" t="s">
        <v>505</v>
      </c>
      <c r="V52" s="48">
        <v>1</v>
      </c>
      <c r="W52" s="48"/>
      <c r="X52" s="49" t="s">
        <v>543</v>
      </c>
      <c r="Y52" s="49" t="s">
        <v>531</v>
      </c>
      <c r="Z52" s="48"/>
      <c r="AA52" s="48" t="s">
        <v>59</v>
      </c>
      <c r="AB52" s="49" t="s">
        <v>76</v>
      </c>
      <c r="AC52" s="49"/>
      <c r="AD52" s="48" t="s">
        <v>77</v>
      </c>
      <c r="AE52" s="49"/>
      <c r="AF52" s="49"/>
      <c r="AG52" s="49">
        <v>1</v>
      </c>
      <c r="AH52" s="49">
        <v>1</v>
      </c>
      <c r="AI52" s="49">
        <v>1</v>
      </c>
      <c r="AJ52" s="49"/>
      <c r="AK52" s="49"/>
      <c r="AL52" s="49"/>
      <c r="AM52" s="49"/>
      <c r="AN52" s="49">
        <v>1</v>
      </c>
      <c r="AO52" s="49"/>
      <c r="AP52" s="49"/>
      <c r="AQ52" s="49"/>
      <c r="AR52" s="49"/>
      <c r="AS52" s="49"/>
    </row>
    <row r="53" spans="1:45" s="169" customFormat="1" ht="74.099999999999994" customHeight="1">
      <c r="A53" s="54" t="s">
        <v>506</v>
      </c>
      <c r="B53" s="55">
        <v>21</v>
      </c>
      <c r="C53" s="56" t="s">
        <v>47</v>
      </c>
      <c r="D53" s="57"/>
      <c r="E53" s="57">
        <v>1</v>
      </c>
      <c r="F53" s="56" t="s">
        <v>73</v>
      </c>
      <c r="G53" s="168" t="s">
        <v>507</v>
      </c>
      <c r="H53" s="56" t="s">
        <v>64</v>
      </c>
      <c r="I53" s="56" t="s">
        <v>75</v>
      </c>
      <c r="J53" s="56" t="s">
        <v>508</v>
      </c>
      <c r="K53" s="58" t="s">
        <v>509</v>
      </c>
      <c r="L53" s="59" t="s">
        <v>370</v>
      </c>
      <c r="M53" s="60" t="s">
        <v>37</v>
      </c>
      <c r="N53" s="55">
        <v>2026</v>
      </c>
      <c r="O53" s="56" t="s">
        <v>76</v>
      </c>
      <c r="P53" s="56">
        <v>3</v>
      </c>
      <c r="Q53" s="56">
        <v>40</v>
      </c>
      <c r="R53" s="56" t="s">
        <v>110</v>
      </c>
      <c r="S53" s="56">
        <v>1</v>
      </c>
      <c r="T53" s="56"/>
      <c r="U53" s="182" t="s">
        <v>161</v>
      </c>
      <c r="V53" s="56">
        <v>1</v>
      </c>
      <c r="W53" s="56"/>
      <c r="X53" s="57" t="s">
        <v>549</v>
      </c>
      <c r="Y53" s="57" t="s">
        <v>539</v>
      </c>
      <c r="Z53" s="56"/>
      <c r="AA53" s="56" t="s">
        <v>59</v>
      </c>
      <c r="AB53" s="57" t="s">
        <v>76</v>
      </c>
      <c r="AC53" s="57"/>
      <c r="AD53" s="56" t="s">
        <v>77</v>
      </c>
      <c r="AE53" s="57">
        <v>1</v>
      </c>
      <c r="AF53" s="57">
        <v>1</v>
      </c>
      <c r="AG53" s="57">
        <v>1</v>
      </c>
      <c r="AH53" s="57"/>
      <c r="AI53" s="57"/>
      <c r="AJ53" s="57"/>
      <c r="AK53" s="57"/>
      <c r="AL53" s="57"/>
      <c r="AM53" s="57"/>
      <c r="AN53" s="57"/>
      <c r="AO53" s="57"/>
      <c r="AP53" s="57"/>
      <c r="AQ53" s="57"/>
      <c r="AR53" s="57"/>
      <c r="AS53" s="57"/>
    </row>
    <row r="54" spans="1:45" s="148" customFormat="1" ht="74.099999999999994" customHeight="1">
      <c r="A54" s="173" t="s">
        <v>512</v>
      </c>
      <c r="B54" s="174">
        <v>27</v>
      </c>
      <c r="C54" s="175" t="s">
        <v>47</v>
      </c>
      <c r="D54" s="176">
        <v>1</v>
      </c>
      <c r="E54" s="176"/>
      <c r="F54" s="175" t="s">
        <v>71</v>
      </c>
      <c r="G54" s="177" t="s">
        <v>513</v>
      </c>
      <c r="H54" s="175" t="s">
        <v>64</v>
      </c>
      <c r="I54" s="175" t="s">
        <v>75</v>
      </c>
      <c r="J54" s="175" t="s">
        <v>514</v>
      </c>
      <c r="K54" s="178" t="s">
        <v>515</v>
      </c>
      <c r="L54" s="179" t="s">
        <v>516</v>
      </c>
      <c r="M54" s="180" t="s">
        <v>37</v>
      </c>
      <c r="N54" s="174">
        <v>2026</v>
      </c>
      <c r="O54" s="175" t="s">
        <v>76</v>
      </c>
      <c r="P54" s="175">
        <v>2</v>
      </c>
      <c r="Q54" s="175">
        <v>100</v>
      </c>
      <c r="R54" s="175" t="s">
        <v>334</v>
      </c>
      <c r="S54" s="175">
        <v>1</v>
      </c>
      <c r="T54" s="175"/>
      <c r="U54" s="181" t="s">
        <v>517</v>
      </c>
      <c r="V54" s="175">
        <v>1</v>
      </c>
      <c r="W54" s="175"/>
      <c r="X54" s="176" t="s">
        <v>518</v>
      </c>
      <c r="Y54" s="176" t="s">
        <v>540</v>
      </c>
      <c r="Z54" s="175" t="s">
        <v>125</v>
      </c>
      <c r="AA54" s="175" t="s">
        <v>236</v>
      </c>
      <c r="AB54" s="176" t="s">
        <v>76</v>
      </c>
      <c r="AC54" s="176" t="s">
        <v>541</v>
      </c>
      <c r="AD54" s="175" t="s">
        <v>77</v>
      </c>
      <c r="AE54" s="176"/>
      <c r="AF54" s="176"/>
      <c r="AG54" s="176"/>
      <c r="AH54" s="176"/>
      <c r="AI54" s="176"/>
      <c r="AJ54" s="176"/>
      <c r="AK54" s="176"/>
      <c r="AL54" s="176"/>
      <c r="AM54" s="176"/>
      <c r="AN54" s="176"/>
      <c r="AO54" s="176"/>
      <c r="AP54" s="176"/>
      <c r="AQ54" s="176"/>
      <c r="AR54" s="176"/>
      <c r="AS54" s="176"/>
    </row>
    <row r="55" spans="1:45" s="172" customFormat="1" ht="74.099999999999994" customHeight="1">
      <c r="A55" s="46" t="s">
        <v>519</v>
      </c>
      <c r="B55" s="47">
        <v>27</v>
      </c>
      <c r="C55" s="48" t="s">
        <v>47</v>
      </c>
      <c r="D55" s="49"/>
      <c r="E55" s="49">
        <v>1</v>
      </c>
      <c r="F55" s="48" t="s">
        <v>64</v>
      </c>
      <c r="G55" s="170" t="s">
        <v>520</v>
      </c>
      <c r="H55" s="48" t="s">
        <v>64</v>
      </c>
      <c r="I55" s="48" t="s">
        <v>75</v>
      </c>
      <c r="J55" s="48" t="s">
        <v>450</v>
      </c>
      <c r="K55" s="50" t="s">
        <v>521</v>
      </c>
      <c r="L55" s="88" t="s">
        <v>504</v>
      </c>
      <c r="M55" s="52" t="s">
        <v>47</v>
      </c>
      <c r="N55" s="47">
        <v>2026</v>
      </c>
      <c r="O55" s="48" t="s">
        <v>76</v>
      </c>
      <c r="P55" s="48">
        <v>5</v>
      </c>
      <c r="Q55" s="48">
        <v>120</v>
      </c>
      <c r="R55" s="48" t="s">
        <v>243</v>
      </c>
      <c r="S55" s="48"/>
      <c r="T55" s="48">
        <v>1</v>
      </c>
      <c r="U55" s="186" t="s">
        <v>522</v>
      </c>
      <c r="V55" s="48">
        <v>1</v>
      </c>
      <c r="W55" s="48"/>
      <c r="X55" s="49" t="s">
        <v>523</v>
      </c>
      <c r="Y55" s="49" t="s">
        <v>540</v>
      </c>
      <c r="Z55" s="48" t="s">
        <v>125</v>
      </c>
      <c r="AA55" s="48" t="s">
        <v>59</v>
      </c>
      <c r="AB55" s="49" t="s">
        <v>76</v>
      </c>
      <c r="AC55" s="49" t="s">
        <v>551</v>
      </c>
      <c r="AD55" s="48" t="s">
        <v>77</v>
      </c>
      <c r="AE55" s="49">
        <v>1</v>
      </c>
      <c r="AF55" s="49">
        <v>1</v>
      </c>
      <c r="AG55" s="49"/>
      <c r="AH55" s="49"/>
      <c r="AI55" s="49"/>
      <c r="AJ55" s="49"/>
      <c r="AK55" s="49"/>
      <c r="AL55" s="49"/>
      <c r="AM55" s="49"/>
      <c r="AN55" s="49"/>
      <c r="AO55" s="49"/>
      <c r="AP55" s="49"/>
      <c r="AQ55" s="49"/>
      <c r="AR55" s="49"/>
      <c r="AS55" s="49"/>
    </row>
    <row r="56" spans="1:45" s="169" customFormat="1" ht="74.099999999999994" customHeight="1">
      <c r="A56" s="54" t="s">
        <v>525</v>
      </c>
      <c r="B56" s="55">
        <v>3</v>
      </c>
      <c r="C56" s="56" t="s">
        <v>48</v>
      </c>
      <c r="D56" s="57">
        <v>1</v>
      </c>
      <c r="E56" s="57"/>
      <c r="F56" s="56" t="s">
        <v>64</v>
      </c>
      <c r="G56" s="168" t="s">
        <v>493</v>
      </c>
      <c r="H56" s="56" t="s">
        <v>64</v>
      </c>
      <c r="I56" s="56" t="s">
        <v>75</v>
      </c>
      <c r="J56" s="56" t="s">
        <v>494</v>
      </c>
      <c r="K56" s="58" t="s">
        <v>495</v>
      </c>
      <c r="L56" s="59" t="s">
        <v>526</v>
      </c>
      <c r="M56" s="60" t="s">
        <v>39</v>
      </c>
      <c r="N56" s="55">
        <v>2026</v>
      </c>
      <c r="O56" s="56" t="s">
        <v>76</v>
      </c>
      <c r="P56" s="56">
        <v>3</v>
      </c>
      <c r="Q56" s="56">
        <v>14</v>
      </c>
      <c r="R56" s="56" t="s">
        <v>334</v>
      </c>
      <c r="S56" s="56"/>
      <c r="T56" s="56">
        <v>1</v>
      </c>
      <c r="U56" s="182" t="s">
        <v>527</v>
      </c>
      <c r="V56" s="56">
        <v>1</v>
      </c>
      <c r="W56" s="56"/>
      <c r="X56" s="57" t="s">
        <v>528</v>
      </c>
      <c r="Y56" s="57"/>
      <c r="Z56" s="56"/>
      <c r="AA56" s="56" t="s">
        <v>59</v>
      </c>
      <c r="AB56" s="57" t="s">
        <v>76</v>
      </c>
      <c r="AC56" s="57"/>
      <c r="AD56" s="56" t="s">
        <v>77</v>
      </c>
      <c r="AE56" s="57">
        <v>1</v>
      </c>
      <c r="AF56" s="57"/>
      <c r="AG56" s="57">
        <v>1</v>
      </c>
      <c r="AH56" s="57"/>
      <c r="AI56" s="57">
        <v>1</v>
      </c>
      <c r="AJ56" s="57"/>
      <c r="AK56" s="57">
        <v>1</v>
      </c>
      <c r="AL56" s="57"/>
      <c r="AM56" s="57"/>
      <c r="AN56" s="57"/>
      <c r="AO56" s="57"/>
      <c r="AP56" s="57"/>
      <c r="AQ56" s="57"/>
      <c r="AR56" s="57"/>
      <c r="AS56" s="57"/>
    </row>
    <row r="57" spans="1:45" s="148" customFormat="1" ht="74.099999999999994" customHeight="1">
      <c r="A57" s="173" t="s">
        <v>525</v>
      </c>
      <c r="B57" s="174">
        <v>4</v>
      </c>
      <c r="C57" s="175" t="s">
        <v>48</v>
      </c>
      <c r="D57" s="176">
        <v>1</v>
      </c>
      <c r="E57" s="176"/>
      <c r="F57" s="175" t="s">
        <v>64</v>
      </c>
      <c r="G57" s="177" t="s">
        <v>493</v>
      </c>
      <c r="H57" s="175" t="s">
        <v>64</v>
      </c>
      <c r="I57" s="175" t="s">
        <v>75</v>
      </c>
      <c r="J57" s="175" t="s">
        <v>494</v>
      </c>
      <c r="K57" s="178" t="s">
        <v>495</v>
      </c>
      <c r="L57" s="179" t="s">
        <v>530</v>
      </c>
      <c r="M57" s="180" t="s">
        <v>38</v>
      </c>
      <c r="N57" s="174">
        <v>2026</v>
      </c>
      <c r="O57" s="175" t="s">
        <v>76</v>
      </c>
      <c r="P57" s="175">
        <v>3</v>
      </c>
      <c r="Q57" s="175">
        <v>15</v>
      </c>
      <c r="R57" s="175" t="s">
        <v>334</v>
      </c>
      <c r="S57" s="175"/>
      <c r="T57" s="175">
        <v>1</v>
      </c>
      <c r="U57" s="181" t="s">
        <v>527</v>
      </c>
      <c r="V57" s="175">
        <v>1</v>
      </c>
      <c r="W57" s="175"/>
      <c r="X57" s="176" t="s">
        <v>550</v>
      </c>
      <c r="Y57" s="176"/>
      <c r="Z57" s="175"/>
      <c r="AA57" s="175" t="s">
        <v>58</v>
      </c>
      <c r="AB57" s="176" t="s">
        <v>76</v>
      </c>
      <c r="AC57" s="176"/>
      <c r="AD57" s="175" t="s">
        <v>77</v>
      </c>
      <c r="AE57" s="176"/>
      <c r="AF57" s="176"/>
      <c r="AG57" s="176">
        <v>1</v>
      </c>
      <c r="AH57" s="176"/>
      <c r="AI57" s="176">
        <v>1</v>
      </c>
      <c r="AJ57" s="176"/>
      <c r="AK57" s="176">
        <v>1</v>
      </c>
      <c r="AL57" s="176"/>
      <c r="AM57" s="176"/>
      <c r="AN57" s="176"/>
      <c r="AO57" s="176"/>
      <c r="AP57" s="176"/>
      <c r="AQ57" s="176"/>
      <c r="AR57" s="176"/>
      <c r="AS57" s="176"/>
    </row>
    <row r="58" spans="1:45" s="148" customFormat="1" ht="74.099999999999994" customHeight="1">
      <c r="A58" s="173" t="s">
        <v>533</v>
      </c>
      <c r="B58" s="174">
        <v>10</v>
      </c>
      <c r="C58" s="175" t="s">
        <v>48</v>
      </c>
      <c r="D58" s="176">
        <v>1</v>
      </c>
      <c r="E58" s="176"/>
      <c r="F58" s="175" t="s">
        <v>31</v>
      </c>
      <c r="G58" s="184" t="s">
        <v>534</v>
      </c>
      <c r="H58" s="175" t="s">
        <v>74</v>
      </c>
      <c r="I58" s="175" t="s">
        <v>130</v>
      </c>
      <c r="J58" s="175" t="s">
        <v>535</v>
      </c>
      <c r="K58" s="178" t="s">
        <v>536</v>
      </c>
      <c r="L58" s="179" t="s">
        <v>537</v>
      </c>
      <c r="M58" s="180" t="s">
        <v>37</v>
      </c>
      <c r="N58" s="174">
        <v>2026</v>
      </c>
      <c r="O58" s="175" t="s">
        <v>76</v>
      </c>
      <c r="P58" s="175">
        <v>2</v>
      </c>
      <c r="Q58" s="175">
        <v>40</v>
      </c>
      <c r="R58" s="175" t="s">
        <v>334</v>
      </c>
      <c r="S58" s="175"/>
      <c r="T58" s="175">
        <v>1</v>
      </c>
      <c r="U58" s="185" t="s">
        <v>161</v>
      </c>
      <c r="V58" s="175">
        <v>1</v>
      </c>
      <c r="W58" s="175">
        <v>1</v>
      </c>
      <c r="X58" s="176" t="s">
        <v>538</v>
      </c>
      <c r="Y58" s="176"/>
      <c r="Z58" s="175"/>
      <c r="AA58" s="175" t="s">
        <v>58</v>
      </c>
      <c r="AB58" s="176" t="s">
        <v>76</v>
      </c>
      <c r="AC58" s="176" t="s">
        <v>542</v>
      </c>
      <c r="AD58" s="175" t="s">
        <v>77</v>
      </c>
      <c r="AE58" s="176"/>
      <c r="AF58" s="176">
        <v>1</v>
      </c>
      <c r="AG58" s="176">
        <v>1</v>
      </c>
      <c r="AH58" s="176"/>
      <c r="AI58" s="176">
        <v>1</v>
      </c>
      <c r="AJ58" s="176"/>
      <c r="AK58" s="176"/>
      <c r="AL58" s="176"/>
      <c r="AM58" s="176"/>
      <c r="AN58" s="176"/>
      <c r="AO58" s="176"/>
      <c r="AP58" s="176"/>
      <c r="AQ58" s="176"/>
      <c r="AR58" s="176"/>
      <c r="AS58" s="176"/>
    </row>
    <row r="59" spans="1:45" s="148" customFormat="1" ht="74.099999999999994" customHeight="1">
      <c r="A59" s="173" t="s">
        <v>544</v>
      </c>
      <c r="B59" s="174">
        <v>19</v>
      </c>
      <c r="C59" s="175" t="s">
        <v>48</v>
      </c>
      <c r="D59" s="176">
        <v>1</v>
      </c>
      <c r="E59" s="176"/>
      <c r="F59" s="175" t="s">
        <v>64</v>
      </c>
      <c r="G59" s="177" t="s">
        <v>545</v>
      </c>
      <c r="H59" s="175" t="s">
        <v>64</v>
      </c>
      <c r="I59" s="175" t="s">
        <v>130</v>
      </c>
      <c r="J59" s="175" t="s">
        <v>546</v>
      </c>
      <c r="K59" s="178" t="s">
        <v>547</v>
      </c>
      <c r="L59" s="179" t="s">
        <v>548</v>
      </c>
      <c r="M59" s="180" t="s">
        <v>39</v>
      </c>
      <c r="N59" s="174">
        <v>2026</v>
      </c>
      <c r="O59" s="175" t="s">
        <v>76</v>
      </c>
      <c r="P59" s="175">
        <v>2</v>
      </c>
      <c r="Q59" s="175">
        <v>100</v>
      </c>
      <c r="R59" s="175" t="s">
        <v>243</v>
      </c>
      <c r="S59" s="175"/>
      <c r="T59" s="175">
        <v>1</v>
      </c>
      <c r="U59" s="185" t="s">
        <v>282</v>
      </c>
      <c r="V59" s="175">
        <v>1</v>
      </c>
      <c r="W59" s="175">
        <v>1</v>
      </c>
      <c r="X59" s="176" t="s">
        <v>553</v>
      </c>
      <c r="Y59" s="176" t="s">
        <v>153</v>
      </c>
      <c r="Z59" s="175" t="s">
        <v>153</v>
      </c>
      <c r="AA59" s="175" t="s">
        <v>58</v>
      </c>
      <c r="AB59" s="176" t="s">
        <v>76</v>
      </c>
      <c r="AC59" s="176" t="s">
        <v>552</v>
      </c>
      <c r="AD59" s="175" t="s">
        <v>77</v>
      </c>
      <c r="AE59" s="176"/>
      <c r="AF59" s="176"/>
      <c r="AG59" s="176"/>
      <c r="AH59" s="176"/>
      <c r="AI59" s="176"/>
      <c r="AJ59" s="176"/>
      <c r="AK59" s="176"/>
      <c r="AL59" s="176"/>
      <c r="AM59" s="176"/>
      <c r="AN59" s="176"/>
      <c r="AO59" s="176">
        <v>1</v>
      </c>
      <c r="AP59" s="176"/>
      <c r="AQ59" s="176"/>
      <c r="AR59" s="176"/>
      <c r="AS59" s="176"/>
    </row>
    <row r="60" spans="1:45" ht="74.099999999999994" customHeight="1">
      <c r="A60" s="81"/>
      <c r="B60" s="82"/>
      <c r="C60" s="83"/>
      <c r="D60" s="84"/>
      <c r="E60" s="84"/>
      <c r="F60" s="83"/>
      <c r="G60" s="150"/>
      <c r="H60" s="83"/>
      <c r="I60" s="83"/>
      <c r="J60" s="83"/>
      <c r="K60" s="85"/>
      <c r="L60" s="87"/>
      <c r="M60" s="86"/>
      <c r="N60" s="82"/>
      <c r="O60" s="83"/>
      <c r="P60" s="83"/>
      <c r="Q60" s="83"/>
      <c r="R60" s="83"/>
      <c r="S60" s="83"/>
      <c r="T60" s="83"/>
      <c r="U60" s="84"/>
      <c r="V60" s="83"/>
      <c r="W60" s="83"/>
      <c r="X60" s="84"/>
      <c r="Y60" s="84"/>
      <c r="Z60" s="83"/>
      <c r="AA60" s="83"/>
      <c r="AB60" s="84"/>
      <c r="AC60" s="84"/>
      <c r="AD60" s="83"/>
      <c r="AE60" s="84"/>
      <c r="AF60" s="84"/>
      <c r="AG60" s="84"/>
      <c r="AH60" s="84"/>
      <c r="AI60" s="84"/>
      <c r="AJ60" s="84"/>
      <c r="AK60" s="84"/>
      <c r="AL60" s="84"/>
      <c r="AM60" s="84"/>
      <c r="AN60" s="84"/>
      <c r="AO60" s="84"/>
      <c r="AP60" s="84"/>
      <c r="AQ60" s="84"/>
      <c r="AR60" s="84"/>
      <c r="AS60" s="84"/>
    </row>
    <row r="61" spans="1:45" ht="74.099999999999994" customHeight="1">
      <c r="A61" s="81"/>
      <c r="B61" s="82"/>
      <c r="C61" s="83"/>
      <c r="D61" s="84"/>
      <c r="E61" s="84"/>
      <c r="F61" s="83"/>
      <c r="G61" s="150"/>
      <c r="H61" s="83"/>
      <c r="I61" s="83"/>
      <c r="J61" s="83"/>
      <c r="K61" s="85"/>
      <c r="L61" s="87"/>
      <c r="M61" s="86"/>
      <c r="N61" s="82"/>
      <c r="O61" s="83"/>
      <c r="P61" s="83"/>
      <c r="Q61" s="83"/>
      <c r="R61" s="83"/>
      <c r="S61" s="83"/>
      <c r="T61" s="83"/>
      <c r="U61" s="84"/>
      <c r="V61" s="83"/>
      <c r="W61" s="83"/>
      <c r="X61" s="84"/>
      <c r="Y61" s="84"/>
      <c r="Z61" s="83"/>
      <c r="AA61" s="83"/>
      <c r="AB61" s="84"/>
      <c r="AC61" s="84"/>
      <c r="AD61" s="83"/>
      <c r="AE61" s="84"/>
      <c r="AF61" s="84"/>
      <c r="AG61" s="84"/>
      <c r="AH61" s="84"/>
      <c r="AI61" s="84"/>
      <c r="AJ61" s="84"/>
      <c r="AK61" s="84"/>
      <c r="AL61" s="84"/>
      <c r="AM61" s="84"/>
      <c r="AN61" s="84"/>
      <c r="AO61" s="84"/>
      <c r="AP61" s="84"/>
      <c r="AQ61" s="84"/>
      <c r="AR61" s="84"/>
      <c r="AS61" s="84"/>
    </row>
    <row r="62" spans="1:45" ht="29.1" customHeight="1">
      <c r="A62" s="187" t="s">
        <v>215</v>
      </c>
      <c r="B62" s="187"/>
    </row>
    <row r="63" spans="1:45">
      <c r="A63" s="16" t="s">
        <v>66</v>
      </c>
      <c r="B63" s="16"/>
    </row>
    <row r="64" spans="1:45">
      <c r="A64" s="20" t="s">
        <v>67</v>
      </c>
      <c r="B64" s="20"/>
    </row>
    <row r="65" spans="1:2">
      <c r="A65" s="11" t="s">
        <v>68</v>
      </c>
    </row>
    <row r="66" spans="1:2">
      <c r="A66" s="45" t="s">
        <v>70</v>
      </c>
      <c r="B66" s="45"/>
    </row>
  </sheetData>
  <autoFilter ref="A1:AW2" xr:uid="{00000000-0001-0000-0000-000000000000}">
    <filterColumn colId="1" showButton="0"/>
    <filterColumn colId="3" showButton="0"/>
    <filterColumn colId="11" showButton="0"/>
    <filterColumn colId="12" showButton="0"/>
    <filterColumn colId="18" showButton="0"/>
    <filterColumn colId="21" showButton="0"/>
    <filterColumn colId="30" showButton="0"/>
    <filterColumn colId="31" showButton="0"/>
    <filterColumn colId="32" showButton="0"/>
    <filterColumn colId="33" showButton="0"/>
    <filterColumn colId="34" showButton="0"/>
    <filterColumn colId="35" showButton="0"/>
    <filterColumn colId="40" showButton="0"/>
    <filterColumn colId="41" showButton="0"/>
    <filterColumn colId="42" showButton="0"/>
    <filterColumn colId="43" showButton="0"/>
  </autoFilter>
  <mergeCells count="27">
    <mergeCell ref="O1:O2"/>
    <mergeCell ref="F1:F2"/>
    <mergeCell ref="A1:A2"/>
    <mergeCell ref="D1:E1"/>
    <mergeCell ref="G1:G2"/>
    <mergeCell ref="J1:J2"/>
    <mergeCell ref="K1:K2"/>
    <mergeCell ref="H1:H2"/>
    <mergeCell ref="I1:I2"/>
    <mergeCell ref="B1:C1"/>
    <mergeCell ref="L1:N1"/>
    <mergeCell ref="A62:B62"/>
    <mergeCell ref="V1:W1"/>
    <mergeCell ref="AD1:AD2"/>
    <mergeCell ref="AO1:AS1"/>
    <mergeCell ref="P1:P2"/>
    <mergeCell ref="AC1:AC2"/>
    <mergeCell ref="AB1:AB2"/>
    <mergeCell ref="X1:X2"/>
    <mergeCell ref="Y1:Y2"/>
    <mergeCell ref="AA1:AA2"/>
    <mergeCell ref="Q1:Q2"/>
    <mergeCell ref="R1:R2"/>
    <mergeCell ref="S1:T1"/>
    <mergeCell ref="U1:U2"/>
    <mergeCell ref="Z1:Z2"/>
    <mergeCell ref="AE1:AN1"/>
  </mergeCells>
  <phoneticPr fontId="3" type="noConversion"/>
  <hyperlinks>
    <hyperlink ref="G3" r:id="rId1" xr:uid="{89906449-F3BA-4568-AEB6-A686CC60F289}"/>
    <hyperlink ref="G4" r:id="rId2" xr:uid="{54122C31-CEEF-4D64-A542-6CB36CF6CBE0}"/>
    <hyperlink ref="G5" r:id="rId3" xr:uid="{30B0C557-BDCA-47E5-AA9C-1EE82707258D}"/>
    <hyperlink ref="G6" r:id="rId4" xr:uid="{6C1C407C-FBC4-4F4A-85D6-D76887F2BE7B}"/>
    <hyperlink ref="G7" r:id="rId5" display="mailto:quentin.reinhart@les3vallees.com" xr:uid="{6E6AFBC8-DF3A-4F9E-909A-912FA41EB4C0}"/>
    <hyperlink ref="G8" r:id="rId6" xr:uid="{F6A8A461-B802-41BB-818E-5D9D7C7AF3C7}"/>
    <hyperlink ref="G10" r:id="rId7" xr:uid="{ED0D8F9E-0E93-4D33-8D0A-66294679360D}"/>
    <hyperlink ref="G11" r:id="rId8" xr:uid="{0FBD32DA-0A5A-48A1-88CF-17E7BD7658DA}"/>
    <hyperlink ref="G12" r:id="rId9" xr:uid="{67AC0EE3-4665-4BBA-A7F4-E5BA9E4F16D4}"/>
    <hyperlink ref="G13" r:id="rId10" display="mailto:jessica.favre@arx.ing" xr:uid="{B91DCDE8-294A-434E-9F62-7ED98A0FBE29}"/>
    <hyperlink ref="G14" r:id="rId11" xr:uid="{C0F0ED03-4C58-44FB-BB48-347BF7C63F63}"/>
    <hyperlink ref="G15" r:id="rId12" xr:uid="{BFCC634D-512A-4BE8-B60F-01FE10B2AF1B}"/>
    <hyperlink ref="G16" r:id="rId13" xr:uid="{FBD0DB90-4DCE-48A9-803A-B0F3177BF0CB}"/>
    <hyperlink ref="G17" r:id="rId14" xr:uid="{7A0949EB-5B14-4BF9-8A8F-CEE3C25C8B5B}"/>
    <hyperlink ref="G18" r:id="rId15" display="mailto:pauline@purevents.fr" xr:uid="{C9326988-9511-4844-A08A-16A0C038CF5A}"/>
    <hyperlink ref="G19" r:id="rId16" xr:uid="{190D4756-FF2F-4320-9532-F1BEB76259CD}"/>
    <hyperlink ref="G20" r:id="rId17" xr:uid="{315F247F-881E-4C77-9A25-75EDCD154053}"/>
    <hyperlink ref="G21" r:id="rId18" display="mailto:pmillion@vmis.fr" xr:uid="{E907CEB8-DEB6-4424-82B4-DF3F03464220}"/>
    <hyperlink ref="G22" r:id="rId19" display="mailto:camilleplanqueraillard@gmail.com" xr:uid="{394A8472-496D-4503-8236-8285E3A2E12D}"/>
    <hyperlink ref="G23" r:id="rId20" xr:uid="{42780A8E-BE34-43A8-818D-43276BF4E78D}"/>
    <hyperlink ref="G24" r:id="rId21" xr:uid="{82F2909A-9388-4EA4-961C-462F3835F52B}"/>
    <hyperlink ref="G25" r:id="rId22" xr:uid="{0B6C58CF-271E-4131-88E6-45704536F610}"/>
    <hyperlink ref="G26" r:id="rId23" xr:uid="{45706FEA-D403-4A57-94EC-BAA72BAF6A51}"/>
    <hyperlink ref="G27" r:id="rId24" xr:uid="{72C7B935-16D6-4755-8728-1AE07F580673}"/>
    <hyperlink ref="G28" r:id="rId25" xr:uid="{BA638A68-8F62-4E02-A1DE-C5E5685C1231}"/>
    <hyperlink ref="G29" r:id="rId26" xr:uid="{B6E0F6DE-6891-4030-ADF6-56DC960D4AEA}"/>
    <hyperlink ref="G30" r:id="rId27" display="mailto:assistantes.dir.dctn@geneve.ch" xr:uid="{C0C55A20-5E19-4B89-804D-56D1C1C6DBB7}"/>
    <hyperlink ref="G31" r:id="rId28" display="mailto:s.pidancet@tsm-versoix.ch" xr:uid="{6CE9B9F7-FB48-4B7C-B054-6E0CB7939F33}"/>
    <hyperlink ref="G32" r:id="rId29" display="mailto:Mary@creativespirit.eu" xr:uid="{5CB52492-D2E9-4F9A-81F7-1D35E6E92327}"/>
    <hyperlink ref="G33" r:id="rId30" xr:uid="{057633B6-2256-4083-9A96-48AC0FB6C87E}"/>
    <hyperlink ref="G34" r:id="rId31" display="mailto:syan.perrin@gmail.com" xr:uid="{1EBBDE52-B79B-4CC9-AE1D-33D3EDB4EABE}"/>
    <hyperlink ref="G35" r:id="rId32" xr:uid="{124F0A2C-8D47-4855-BE1B-36C4518280E8}"/>
    <hyperlink ref="G36" r:id="rId33" xr:uid="{37F3B718-911B-4293-AEF5-0B3B0A9F63C3}"/>
    <hyperlink ref="G37" r:id="rId34" display="mailto:howard@lmcongress.ch" xr:uid="{3DAB92B6-FBD9-4A9E-9675-DDD2A2D0C69F}"/>
    <hyperlink ref="G38" r:id="rId35" xr:uid="{E2B88616-6053-425C-BEB0-8A6B07A26E32}"/>
    <hyperlink ref="G39" r:id="rId36" display="mailto:emiguet@zzzest.com" xr:uid="{C095729F-BF78-4832-BE7C-6379E927617A}"/>
    <hyperlink ref="G40" r:id="rId37" display="mailto:Lseprus@stc.ca" xr:uid="{1B9F044D-737A-45BE-93CD-6BE51EFBE928}"/>
    <hyperlink ref="G41" r:id="rId38" xr:uid="{83878942-9F88-49A7-A431-9BDE934E52B6}"/>
    <hyperlink ref="G46" r:id="rId39" display="mailto:tasha@principalge.com" xr:uid="{3A5F713C-0DB0-4CAC-9329-99F027600BD1}"/>
    <hyperlink ref="G44" r:id="rId40" xr:uid="{39B36216-1F70-4638-B328-E2CEA5E735A7}"/>
    <hyperlink ref="G45" r:id="rId41" xr:uid="{5EC15AE7-136F-4CED-8308-908ECA7C2DE1}"/>
    <hyperlink ref="G48" r:id="rId42" xr:uid="{B1E69459-CAB0-4B59-9013-E18E7D2F6535}"/>
    <hyperlink ref="G49" r:id="rId43" xr:uid="{152F9E13-556F-4230-BCB4-0878095E79AA}"/>
    <hyperlink ref="G50" r:id="rId44" display="gilles@wedo.com" xr:uid="{23624B76-0E97-4684-B19A-34E14C7924BB}"/>
    <hyperlink ref="G51" r:id="rId45" xr:uid="{BE0AD382-23D5-4D9F-8B15-5396C1975906}"/>
    <hyperlink ref="G52" r:id="rId46" xr:uid="{49374FB6-0700-46E2-BEC5-F1382FC11A14}"/>
    <hyperlink ref="G53" r:id="rId47" xr:uid="{B49FC384-8E0F-4C01-9AAC-95981EB8E579}"/>
    <hyperlink ref="G54" r:id="rId48" xr:uid="{8BBC184A-1629-421E-8E23-A9354701023B}"/>
    <hyperlink ref="G55" r:id="rId49" xr:uid="{7766B9C2-1742-4ED0-A314-A06180BFEC7D}"/>
    <hyperlink ref="G56" r:id="rId50" xr:uid="{88852867-33B0-428D-8F45-190A0DD201B5}"/>
    <hyperlink ref="G57" r:id="rId51" xr:uid="{2C862AF0-F0DB-47A4-ABB6-C73AD7ACBE19}"/>
    <hyperlink ref="G58" r:id="rId52" display="mailto:Crispin@hotelsandvenues.co.uk" xr:uid="{9E41FC25-AC5E-4F33-B887-0ED9F29C6299}"/>
    <hyperlink ref="G59" r:id="rId53" xr:uid="{E1E3A85D-8045-44CF-97E1-69062E6ED0E0}"/>
  </hyperlinks>
  <pageMargins left="0.7" right="0.7" top="0.75" bottom="0.75" header="0.3" footer="0.3"/>
  <pageSetup paperSize="8" scale="24" fitToHeight="0" orientation="landscape" r:id="rId54"/>
  <drawing r:id="rId55"/>
  <extLst>
    <ext xmlns:x14="http://schemas.microsoft.com/office/spreadsheetml/2009/9/main" uri="{CCE6A557-97BC-4b89-ADB6-D9C93CAAB3DF}">
      <x14:dataValidations xmlns:xm="http://schemas.microsoft.com/office/excel/2006/main" count="11">
        <x14:dataValidation type="list" errorStyle="warning" allowBlank="1" showInputMessage="1" showErrorMessage="1" xr:uid="{182F4B07-3BDD-4CA2-9CED-E00EB90E7CF3}">
          <x14:formula1>
            <xm:f>Statistiques!$A$71:$A$78</xm:f>
          </x14:formula1>
          <xm:sqref>AA3:AA594</xm:sqref>
        </x14:dataValidation>
        <x14:dataValidation type="list" errorStyle="information" allowBlank="1" showInputMessage="1" showErrorMessage="1" errorTitle="Le pays n'est pas dans la liste" error="Si le pays de la demande n'est pas dans la liste, il faut vous rendre dans l'onglet DONNEES puis &quot;validation des données&quot; afin de rajouter dans la liste le pays manquant" xr:uid="{903DDC71-888B-41D8-A3BF-C88891E41E44}">
          <x14:formula1>
            <xm:f>'Listes automatisation'!$C$2:$C$7</xm:f>
          </x14:formula1>
          <xm:sqref>F3:F39 F41:F43 F46:F477</xm:sqref>
        </x14:dataValidation>
        <x14:dataValidation type="list" errorStyle="information" allowBlank="1" showInputMessage="1" showErrorMessage="1" errorTitle="Il n'y a pas la langue" error="Si la langue du client n'est pas dans la liste déroulante, il faut vous rendre dans l'onglet DONNEES sous &quot;validation des données&quot; et rajouter lalangue voulue dans la liste " xr:uid="{062F6E6A-CC15-49E0-A953-47DA28909C14}">
          <x14:formula1>
            <xm:f>'Listes automatisation'!$B$2:$B$5</xm:f>
          </x14:formula1>
          <xm:sqref>H3:H293</xm:sqref>
        </x14:dataValidation>
        <x14:dataValidation type="list" allowBlank="1" showInputMessage="1" showErrorMessage="1" xr:uid="{29ACB10C-A249-4E79-B922-C7693E1AA421}">
          <x14:formula1>
            <xm:f>'Listes automatisation'!$A$2:$A$3</xm:f>
          </x14:formula1>
          <xm:sqref>I3:I186</xm:sqref>
        </x14:dataValidation>
        <x14:dataValidation type="list" allowBlank="1" showInputMessage="1" showErrorMessage="1" xr:uid="{C5E05E71-722B-4CA6-B067-19A63CBDDAB9}">
          <x14:formula1>
            <xm:f>'Listes automatisation'!$D$2:$D$3</xm:f>
          </x14:formula1>
          <xm:sqref>O3:O250</xm:sqref>
        </x14:dataValidation>
        <x14:dataValidation type="list" errorStyle="information" allowBlank="1" showInputMessage="1" showErrorMessage="1" errorTitle="Nouveau collaborateur" error="Si un nouveau collaborateur s'occupe des demandes MICE, il faut le rajouter à la liste déroulante. Pour ce faire, il faut se rendre dans l'onglet DONNEES puis &quot;validation des données&quot; afin de rajouter ses initiales à la liste" xr:uid="{03CDA3B8-62ED-4414-8CB9-4FADD204A23D}">
          <x14:formula1>
            <xm:f>'Listes automatisation'!$F$2:$F$6</xm:f>
          </x14:formula1>
          <xm:sqref>AD3:AD477</xm:sqref>
        </x14:dataValidation>
        <x14:dataValidation type="list" errorStyle="information" allowBlank="1" showInputMessage="1" showErrorMessage="1" errorTitle="Autre trasmission" error="Si nous avons reçu la demande via un autre canal, il faut le rajouter dans la liste et ne pas mettre autre. Il faut passer sous DONNEES puis &quot;validation des données&quot;." xr:uid="{64B5D04B-4EE7-485F-8529-0210809FBF9E}">
          <x14:formula1>
            <xm:f>'Listes automatisation'!$G$2:$G$7</xm:f>
          </x14:formula1>
          <xm:sqref>R3:R379</xm:sqref>
        </x14:dataValidation>
        <x14:dataValidation type="list" errorStyle="information" allowBlank="1" showInputMessage="1" showErrorMessage="1" errorTitle="Demande sur plusieurs mois" error="Si la demande est sur plusieurs mois, il faut mettre le mois d ela première nuitée afin que cela soit comptabilisé dans les statistiques" xr:uid="{27051C4E-4E21-4F72-9B62-05569F9DB3A2}">
          <x14:formula1>
            <xm:f>'Listes automatisation'!$H$2:$H$13</xm:f>
          </x14:formula1>
          <xm:sqref>M3:M144</xm:sqref>
        </x14:dataValidation>
        <x14:dataValidation type="list" allowBlank="1" showInputMessage="1" showErrorMessage="1" xr:uid="{8A60329B-52BF-4914-99B0-60E14EAB0DB8}">
          <x14:formula1>
            <xm:f>'Listes automatisation'!$H$2:$H$13</xm:f>
          </x14:formula1>
          <xm:sqref>C3:C140</xm:sqref>
        </x14:dataValidation>
        <x14:dataValidation type="list" errorStyle="information" allowBlank="1" showInputMessage="1" showErrorMessage="1" errorTitle="Le pays n'est pas dans la liste" error="Si le pays de la demande n'est pas dans la liste, il faut vous rendre dans l'onglet DONNEES puis &quot;validation des données&quot; afin de rajouter dans la liste le pays manquant" xr:uid="{A091F0A1-6707-4164-9C2E-21C97FC425C1}">
          <x14:formula1>
            <xm:f>'Listes automatisation'!$C$2:$C$8</xm:f>
          </x14:formula1>
          <xm:sqref>F40</xm:sqref>
        </x14:dataValidation>
        <x14:dataValidation type="list" errorStyle="information" allowBlank="1" showInputMessage="1" showErrorMessage="1" errorTitle="Le pays n'est pas dans la liste" error="Si le pays de la demande n'est pas dans la liste, il faut vous rendre dans l'onglet DONNEES puis &quot;validation des données&quot; afin de rajouter dans la liste le pays manquant" xr:uid="{7DB2A865-D09C-4928-80CD-744AFE20AC9D}">
          <x14:formula1>
            <xm:f>'Listes automatisation'!$C$2:$C$9</xm:f>
          </x14:formula1>
          <xm:sqref>F44:F45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4637-466D-478F-8433-7F40289AA8A4}">
  <dimension ref="A1:K85"/>
  <sheetViews>
    <sheetView workbookViewId="0">
      <selection activeCell="N79" sqref="N79"/>
    </sheetView>
  </sheetViews>
  <sheetFormatPr baseColWidth="10" defaultRowHeight="15"/>
  <cols>
    <col min="1" max="1" width="26.7109375" bestFit="1" customWidth="1"/>
    <col min="9" max="9" width="12" customWidth="1"/>
    <col min="10" max="10" width="12.42578125" customWidth="1"/>
  </cols>
  <sheetData>
    <row r="1" spans="1:3">
      <c r="A1" s="201" t="s">
        <v>33</v>
      </c>
      <c r="B1" s="202"/>
      <c r="C1" s="202"/>
    </row>
    <row r="2" spans="1:3">
      <c r="A2" s="2" t="s">
        <v>71</v>
      </c>
      <c r="B2" s="3">
        <f>COUNTIF('2025'!F$3:F$123,Statistiques!A2)</f>
        <v>25</v>
      </c>
      <c r="C2" s="4">
        <f>B2/B$13</f>
        <v>0.46296296296296297</v>
      </c>
    </row>
    <row r="3" spans="1:3">
      <c r="A3" s="2" t="s">
        <v>64</v>
      </c>
      <c r="B3" s="3">
        <f>COUNTIF('2025'!F$3:F$123,Statistiques!A3)</f>
        <v>20</v>
      </c>
      <c r="C3" s="4">
        <f>B3/B$13</f>
        <v>0.37037037037037035</v>
      </c>
    </row>
    <row r="4" spans="1:3">
      <c r="A4" s="2" t="s">
        <v>72</v>
      </c>
      <c r="B4" s="3">
        <f>COUNTIF('2025'!F$3:F$123,Statistiques!A4)</f>
        <v>2</v>
      </c>
      <c r="C4" s="4">
        <f t="shared" ref="C4:C7" si="0">B4/B$13</f>
        <v>3.7037037037037035E-2</v>
      </c>
    </row>
    <row r="5" spans="1:3">
      <c r="A5" s="2" t="s">
        <v>92</v>
      </c>
      <c r="B5" s="3">
        <f>COUNTIF('2025'!F$3:F$123,Statistiques!A5)</f>
        <v>0</v>
      </c>
      <c r="C5" s="4">
        <f t="shared" si="0"/>
        <v>0</v>
      </c>
    </row>
    <row r="6" spans="1:3">
      <c r="A6" s="2" t="s">
        <v>73</v>
      </c>
      <c r="B6" s="3">
        <f>COUNTIF('2025'!F$3:F$123,Statistiques!A6)</f>
        <v>1</v>
      </c>
      <c r="C6" s="4">
        <f t="shared" si="0"/>
        <v>1.8518518518518517E-2</v>
      </c>
    </row>
    <row r="7" spans="1:3">
      <c r="A7" s="2" t="s">
        <v>31</v>
      </c>
      <c r="B7" s="3">
        <f>COUNTIF('2025'!F$3:F$123,Statistiques!A7)</f>
        <v>6</v>
      </c>
      <c r="C7" s="4">
        <f t="shared" si="0"/>
        <v>0.1111111111111111</v>
      </c>
    </row>
    <row r="8" spans="1:3">
      <c r="A8" s="2" t="s">
        <v>78</v>
      </c>
      <c r="B8" s="3">
        <f>COUNTIF('2025'!F$3:F$123,Statistiques!A8)</f>
        <v>0</v>
      </c>
      <c r="C8" s="4">
        <f>B8/B$13</f>
        <v>0</v>
      </c>
    </row>
    <row r="9" spans="1:3">
      <c r="A9" s="2" t="s">
        <v>88</v>
      </c>
      <c r="B9" s="3">
        <f>COUNTIF('2025'!F$3:F$123,Statistiques!A9)</f>
        <v>0</v>
      </c>
      <c r="C9" s="4">
        <f>B9/B$13</f>
        <v>0</v>
      </c>
    </row>
    <row r="10" spans="1:3">
      <c r="A10" s="2" t="s">
        <v>93</v>
      </c>
      <c r="B10" s="3">
        <f>COUNTIF('2025'!F$3:F$123,Statistiques!A10)</f>
        <v>0</v>
      </c>
      <c r="C10" s="4">
        <f>B10/B13</f>
        <v>0</v>
      </c>
    </row>
    <row r="11" spans="1:3">
      <c r="A11" s="2" t="s">
        <v>89</v>
      </c>
      <c r="B11" s="3">
        <f>COUNTIF('2025'!F$3:F$123,Statistiques!A11)</f>
        <v>0</v>
      </c>
      <c r="C11" s="4">
        <f>B11/B13</f>
        <v>0</v>
      </c>
    </row>
    <row r="12" spans="1:3">
      <c r="A12" s="2" t="s">
        <v>91</v>
      </c>
      <c r="B12" s="3">
        <f>COUNTIF('2025'!F$3:F$123,Statistiques!A12)</f>
        <v>0</v>
      </c>
      <c r="C12" s="4">
        <f t="shared" ref="C12" si="1">B12/B$13</f>
        <v>0</v>
      </c>
    </row>
    <row r="13" spans="1:3">
      <c r="A13" s="69" t="s">
        <v>34</v>
      </c>
      <c r="B13" s="72">
        <f>SUM(B2:B12)</f>
        <v>54</v>
      </c>
      <c r="C13" s="73">
        <f>SUM(C2:C12)</f>
        <v>0.99999999999999978</v>
      </c>
    </row>
    <row r="14" spans="1:3">
      <c r="B14" s="9"/>
    </row>
    <row r="15" spans="1:3">
      <c r="A15" s="1" t="s">
        <v>52</v>
      </c>
      <c r="B15" s="9"/>
    </row>
    <row r="16" spans="1:3">
      <c r="A16" s="78" t="s">
        <v>53</v>
      </c>
      <c r="B16" s="76" cm="1">
        <f t="array" ref="B16">SUMPRODUCT(('2025'!R3:R123="SCIB UK")+('2025'!R3:R123="SCIB FR")+('2025'!R3:R123="SCIB BE")+('2025'!R3:R123="SCIB NORDICS"))</f>
        <v>21</v>
      </c>
      <c r="C16" s="10">
        <f>B16/B$20</f>
        <v>0.53846153846153844</v>
      </c>
    </row>
    <row r="17" spans="1:3">
      <c r="A17" s="78" t="s">
        <v>79</v>
      </c>
      <c r="B17" s="76">
        <f>COUNTIF('2025'!R3:R123,Statistiques!A17)</f>
        <v>0</v>
      </c>
      <c r="C17" s="10">
        <f>B17/B$20</f>
        <v>0</v>
      </c>
    </row>
    <row r="18" spans="1:3">
      <c r="A18" s="78" t="s">
        <v>80</v>
      </c>
      <c r="B18" s="76">
        <f>COUNTIF('2025'!R3:R123,"DIRECT")</f>
        <v>17</v>
      </c>
      <c r="C18" s="10">
        <f>B18/B$20</f>
        <v>0.4358974358974359</v>
      </c>
    </row>
    <row r="19" spans="1:3">
      <c r="A19" s="79" t="s">
        <v>81</v>
      </c>
      <c r="B19" s="77" cm="1">
        <f t="array" ref="B19">SUMPRODUCT(('2025'!R3:R123="Villars X")+('2025'!R3:R123="Autre"))</f>
        <v>1</v>
      </c>
      <c r="C19" s="10">
        <f>B19/B20</f>
        <v>2.564102564102564E-2</v>
      </c>
    </row>
    <row r="20" spans="1:3">
      <c r="A20" s="68" t="s">
        <v>51</v>
      </c>
      <c r="B20" s="74">
        <f>SUM(B16:B19)</f>
        <v>39</v>
      </c>
      <c r="C20" s="75">
        <f>SUM(C16:C19)</f>
        <v>1</v>
      </c>
    </row>
    <row r="23" spans="1:3">
      <c r="A23" s="1" t="s">
        <v>35</v>
      </c>
    </row>
    <row r="24" spans="1:3">
      <c r="A24" s="15">
        <f>AVERAGE('2025'!P3:P123)</f>
        <v>899.68627450980387</v>
      </c>
    </row>
    <row r="26" spans="1:3">
      <c r="A26" s="1" t="s">
        <v>36</v>
      </c>
    </row>
    <row r="27" spans="1:3">
      <c r="A27" s="15">
        <f>AVERAGE('2025'!Q3:Q123)</f>
        <v>86.551020408163268</v>
      </c>
    </row>
    <row r="29" spans="1:3">
      <c r="A29" s="117" t="s">
        <v>333</v>
      </c>
    </row>
    <row r="31" spans="1:3">
      <c r="A31" s="5" t="s">
        <v>37</v>
      </c>
      <c r="B31" s="5">
        <f>COUNTIF('2025'!C3:C123,Statistiques!A31)</f>
        <v>4</v>
      </c>
      <c r="C31" s="7">
        <f>B31/B43</f>
        <v>8.5106382978723402E-2</v>
      </c>
    </row>
    <row r="32" spans="1:3">
      <c r="A32" s="5" t="s">
        <v>38</v>
      </c>
      <c r="B32" s="5">
        <f>COUNTIF('2025'!C3:C123,Statistiques!A32)</f>
        <v>3</v>
      </c>
      <c r="C32" s="7">
        <f>B32/B43</f>
        <v>6.3829787234042548E-2</v>
      </c>
    </row>
    <row r="33" spans="1:3">
      <c r="A33" s="5" t="s">
        <v>39</v>
      </c>
      <c r="B33" s="5">
        <f>COUNTIF('2025'!C3:C123,Statistiques!A33)</f>
        <v>0</v>
      </c>
      <c r="C33" s="7">
        <f>B33/B43</f>
        <v>0</v>
      </c>
    </row>
    <row r="34" spans="1:3">
      <c r="A34" s="5" t="s">
        <v>40</v>
      </c>
      <c r="B34" s="5">
        <f>COUNTIF('2025'!C3:C123,Statistiques!A34)</f>
        <v>6</v>
      </c>
      <c r="C34" s="7">
        <f>B34/B43</f>
        <v>0.1276595744680851</v>
      </c>
    </row>
    <row r="35" spans="1:3">
      <c r="A35" s="6" t="s">
        <v>41</v>
      </c>
      <c r="B35" s="6">
        <f>COUNTIF('2025'!C3:C123,Statistiques!A35)</f>
        <v>1</v>
      </c>
      <c r="C35" s="8">
        <f>B35/B43</f>
        <v>2.1276595744680851E-2</v>
      </c>
    </row>
    <row r="36" spans="1:3">
      <c r="A36" s="6" t="s">
        <v>42</v>
      </c>
      <c r="B36" s="6">
        <f>COUNTIF('2025'!C3:C123,Statistiques!A36)</f>
        <v>3</v>
      </c>
      <c r="C36" s="8">
        <f>B36/B43</f>
        <v>6.3829787234042548E-2</v>
      </c>
    </row>
    <row r="37" spans="1:3">
      <c r="A37" s="6" t="s">
        <v>43</v>
      </c>
      <c r="B37" s="6">
        <f>COUNTIF('2025'!C3:C123,Statistiques!A37)</f>
        <v>0</v>
      </c>
      <c r="C37" s="8">
        <f>B37/B43</f>
        <v>0</v>
      </c>
    </row>
    <row r="38" spans="1:3">
      <c r="A38" s="6" t="s">
        <v>44</v>
      </c>
      <c r="B38" s="6">
        <f>COUNTIF('2025'!C3:C123,Statistiques!A38)</f>
        <v>7</v>
      </c>
      <c r="C38" s="8">
        <f>B38/B43</f>
        <v>0.14893617021276595</v>
      </c>
    </row>
    <row r="39" spans="1:3">
      <c r="A39" s="6" t="s">
        <v>45</v>
      </c>
      <c r="B39" s="6">
        <f>COUNTIF('2025'!C3:C123,Statistiques!A39)</f>
        <v>6</v>
      </c>
      <c r="C39" s="8">
        <f>B39/B43</f>
        <v>0.1276595744680851</v>
      </c>
    </row>
    <row r="40" spans="1:3">
      <c r="A40" s="6" t="s">
        <v>46</v>
      </c>
      <c r="B40" s="6">
        <f>COUNTIF('2025'!C3:C123,Statistiques!A40)</f>
        <v>8</v>
      </c>
      <c r="C40" s="8">
        <f>B40/B43</f>
        <v>0.1702127659574468</v>
      </c>
    </row>
    <row r="41" spans="1:3">
      <c r="A41" s="6" t="s">
        <v>47</v>
      </c>
      <c r="B41" s="6">
        <f>COUNTIF('2025'!C3:C123,Statistiques!A41)</f>
        <v>5</v>
      </c>
      <c r="C41" s="8">
        <f>B41/B43</f>
        <v>0.10638297872340426</v>
      </c>
    </row>
    <row r="42" spans="1:3">
      <c r="A42" s="5" t="s">
        <v>48</v>
      </c>
      <c r="B42" s="5">
        <f>COUNTIF('2025'!C3:C123,Statistiques!A42)</f>
        <v>4</v>
      </c>
      <c r="C42" s="7">
        <f>B42/B43</f>
        <v>8.5106382978723402E-2</v>
      </c>
    </row>
    <row r="43" spans="1:3">
      <c r="A43" s="13" t="s">
        <v>51</v>
      </c>
      <c r="B43" s="13">
        <f>SUM(B31:B42)</f>
        <v>47</v>
      </c>
      <c r="C43" s="19">
        <f>SUM(C31:C42)</f>
        <v>0.99999999999999989</v>
      </c>
    </row>
    <row r="45" spans="1:3">
      <c r="A45" s="5" t="s">
        <v>49</v>
      </c>
      <c r="B45" s="7">
        <f>((SUM(B31:B34)+B42)/B43)</f>
        <v>0.36170212765957449</v>
      </c>
    </row>
    <row r="46" spans="1:3">
      <c r="A46" s="6" t="s">
        <v>50</v>
      </c>
      <c r="B46" s="8">
        <f>(SUM(B35:B41)/B43)</f>
        <v>0.63829787234042556</v>
      </c>
    </row>
    <row r="47" spans="1:3">
      <c r="A47" s="13"/>
      <c r="B47" s="14">
        <f>B45+B46</f>
        <v>1</v>
      </c>
    </row>
    <row r="48" spans="1:3">
      <c r="B48" s="71"/>
    </row>
    <row r="49" spans="1:4">
      <c r="A49" s="117" t="s">
        <v>332</v>
      </c>
    </row>
    <row r="50" spans="1:4">
      <c r="B50">
        <v>2025</v>
      </c>
      <c r="C50">
        <v>2026</v>
      </c>
      <c r="D50">
        <v>2027</v>
      </c>
    </row>
    <row r="51" spans="1:4">
      <c r="A51" s="61" t="s">
        <v>37</v>
      </c>
      <c r="B51" s="70">
        <f>COUNTIFS('2025'!M$3:M$123,Statistiques!A51,'2025'!N$3:N$123,Statistiques!B$50)</f>
        <v>0</v>
      </c>
      <c r="C51" s="62">
        <f>COUNTIFS('2025'!M$3:M$123,Statistiques!A51,'2025'!N$3:N$123,Statistiques!C$50)</f>
        <v>9</v>
      </c>
      <c r="D51" s="62">
        <f>COUNTIFS('2025'!M$3:M$123,Statistiques!C51,'2025'!N$3:N$123,Statistiques!D$50)</f>
        <v>0</v>
      </c>
    </row>
    <row r="52" spans="1:4">
      <c r="A52" s="5" t="s">
        <v>38</v>
      </c>
      <c r="B52" s="62">
        <f>COUNTIFS('2025'!M$3:M$123,Statistiques!A52,'2025'!N$3:N$123,Statistiques!B$50)</f>
        <v>0</v>
      </c>
      <c r="C52" s="62">
        <f>COUNTIFS('2025'!M$3:M$123,Statistiques!A52,'2025'!N$3:N$123,Statistiques!C$50)</f>
        <v>5</v>
      </c>
      <c r="D52" s="62">
        <f>COUNTIFS('2025'!M$3:M$123,Statistiques!C52,'2025'!N$3:N$123,Statistiques!D$50)</f>
        <v>0</v>
      </c>
    </row>
    <row r="53" spans="1:4">
      <c r="A53" s="5" t="s">
        <v>39</v>
      </c>
      <c r="B53" s="62">
        <f>COUNTIFS('2025'!M$3:M$123,Statistiques!A53,'2025'!N$3:N$123,Statistiques!B$50)</f>
        <v>3</v>
      </c>
      <c r="C53" s="62">
        <f>COUNTIFS('2025'!M$3:M$123,Statistiques!A53,'2025'!N$3:N$123,Statistiques!C$50)</f>
        <v>9</v>
      </c>
      <c r="D53" s="62">
        <f>COUNTIFS('2025'!M$3:M$123,Statistiques!C53,'2025'!N$3:N$123,Statistiques!D$50)</f>
        <v>0</v>
      </c>
    </row>
    <row r="54" spans="1:4">
      <c r="A54" s="5" t="s">
        <v>40</v>
      </c>
      <c r="B54" s="62">
        <f>COUNTIFS('2025'!M$3:M$123,Statistiques!A54,'2025'!N$3:N$123,Statistiques!B$50)</f>
        <v>0</v>
      </c>
      <c r="C54" s="62">
        <f>COUNTIFS('2025'!M$3:M$123,Statistiques!A54,'2025'!N$3:N$123,Statistiques!C$50)</f>
        <v>2</v>
      </c>
      <c r="D54" s="62">
        <f>COUNTIFS('2025'!M$3:M$123,Statistiques!C54,'2025'!N$3:N$123,Statistiques!D$50)</f>
        <v>0</v>
      </c>
    </row>
    <row r="55" spans="1:4">
      <c r="A55" s="6" t="s">
        <v>41</v>
      </c>
      <c r="B55" s="63">
        <f>COUNTIFS('2025'!M$3:M$123,Statistiques!A55,'2025'!N$3:N$123,Statistiques!B$50)</f>
        <v>1</v>
      </c>
      <c r="C55" s="63">
        <f>COUNTIFS('2025'!M$3:M$123,Statistiques!A55,'2025'!N$3:N$123,Statistiques!C$50)</f>
        <v>1</v>
      </c>
      <c r="D55" s="63">
        <f>COUNTIFS('2025'!M$3:M$123,Statistiques!C55,'2025'!N$3:N$123,Statistiques!D$50)</f>
        <v>0</v>
      </c>
    </row>
    <row r="56" spans="1:4">
      <c r="A56" s="6" t="s">
        <v>42</v>
      </c>
      <c r="B56" s="63">
        <f>COUNTIFS('2025'!M$3:M$123,Statistiques!A56,'2025'!N$3:N$123,Statistiques!B$50)</f>
        <v>2</v>
      </c>
      <c r="C56" s="63">
        <f>COUNTIFS('2025'!M$3:M$123,Statistiques!A56,'2025'!N$3:N$123,Statistiques!C$50)</f>
        <v>1</v>
      </c>
      <c r="D56" s="63">
        <f>COUNTIFS('2025'!M$3:M$123,Statistiques!C56,'2025'!N$3:N$123,Statistiques!D$50)</f>
        <v>0</v>
      </c>
    </row>
    <row r="57" spans="1:4">
      <c r="A57" s="6" t="s">
        <v>43</v>
      </c>
      <c r="B57" s="63">
        <f>COUNTIFS('2025'!M$3:M$123,Statistiques!A57,'2025'!N$3:N$123,Statistiques!B$50)</f>
        <v>0</v>
      </c>
      <c r="C57" s="63">
        <f>COUNTIFS('2025'!M$3:M$123,Statistiques!A57,'2025'!N$3:N$123,Statistiques!C$50)</f>
        <v>0</v>
      </c>
      <c r="D57" s="63">
        <f>COUNTIFS('2025'!M$3:M$123,Statistiques!C57,'2025'!N$3:N$123,Statistiques!D$50)</f>
        <v>0</v>
      </c>
    </row>
    <row r="58" spans="1:4">
      <c r="A58" s="6" t="s">
        <v>44</v>
      </c>
      <c r="B58" s="63">
        <f>COUNTIFS('2025'!M$3:M$123,Statistiques!A58,'2025'!N$3:N$123,Statistiques!B$50)</f>
        <v>1</v>
      </c>
      <c r="C58" s="63">
        <f>COUNTIFS('2025'!M$3:M$123,Statistiques!A58,'2025'!N$3:N$123,Statistiques!C$50)</f>
        <v>0</v>
      </c>
      <c r="D58" s="63">
        <f>COUNTIFS('2025'!M$3:M$123,Statistiques!C58,'2025'!N$3:N$123,Statistiques!D$50)</f>
        <v>0</v>
      </c>
    </row>
    <row r="59" spans="1:4">
      <c r="A59" s="6" t="s">
        <v>45</v>
      </c>
      <c r="B59" s="63">
        <f>COUNTIFS('2025'!M$3:M$123,Statistiques!A59,'2025'!N$3:N$123,Statistiques!B$50)</f>
        <v>4</v>
      </c>
      <c r="C59" s="63">
        <f>COUNTIFS('2025'!M$3:M$123,Statistiques!A59,'2025'!N$3:N$123,Statistiques!C$50)</f>
        <v>0</v>
      </c>
      <c r="D59" s="63">
        <f>COUNTIFS('2025'!M$3:M$123,Statistiques!C59,'2025'!N$3:N$123,Statistiques!D$50)</f>
        <v>0</v>
      </c>
    </row>
    <row r="60" spans="1:4">
      <c r="A60" s="6" t="s">
        <v>46</v>
      </c>
      <c r="B60" s="63">
        <f>COUNTIFS('2025'!M$3:M$123,Statistiques!A60,'2025'!N$3:N$123,Statistiques!B$50)</f>
        <v>3</v>
      </c>
      <c r="C60" s="63">
        <f>COUNTIFS('2025'!M$3:M$123,Statistiques!A60,'2025'!N$3:N$123,Statistiques!C$50)</f>
        <v>0</v>
      </c>
      <c r="D60" s="63">
        <f>COUNTIFS('2025'!M$3:M$123,Statistiques!C60,'2025'!N$3:N$123,Statistiques!D$50)</f>
        <v>0</v>
      </c>
    </row>
    <row r="61" spans="1:4">
      <c r="A61" s="6" t="s">
        <v>47</v>
      </c>
      <c r="B61" s="63">
        <f>COUNTIFS('2025'!M$3:M$123,Statistiques!A61,'2025'!N$3:N$123,Statistiques!B$50)</f>
        <v>1</v>
      </c>
      <c r="C61" s="63">
        <f>COUNTIFS('2025'!M$3:M$123,Statistiques!A61,'2025'!N$3:N$123,Statistiques!C$50)</f>
        <v>1</v>
      </c>
      <c r="D61" s="63">
        <f>COUNTIFS('2025'!M$3:M$123,Statistiques!C61,'2025'!N$3:N$123,Statistiques!D$50)</f>
        <v>0</v>
      </c>
    </row>
    <row r="62" spans="1:4">
      <c r="A62" s="5" t="s">
        <v>48</v>
      </c>
      <c r="B62" s="116">
        <f>COUNTIFS('2025'!M$3:M$123,Statistiques!A62,'2025'!N$3:N$123,Statistiques!B$50)</f>
        <v>3</v>
      </c>
      <c r="C62" s="67">
        <f>COUNTIFS('2025'!M$3:M$123,Statistiques!A62,'2025'!N$3:N$123,Statistiques!C$50)</f>
        <v>0</v>
      </c>
      <c r="D62" s="119">
        <f>COUNTIFS('2025'!M$3:M$123,Statistiques!C62,'2025'!N$3:N$123,Statistiques!D$50)</f>
        <v>0</v>
      </c>
    </row>
    <row r="63" spans="1:4">
      <c r="A63" s="68" t="s">
        <v>51</v>
      </c>
      <c r="B63" s="69">
        <f>SUM(B51:B62)</f>
        <v>18</v>
      </c>
      <c r="C63" s="69">
        <f>SUM(C51:C62)</f>
        <v>28</v>
      </c>
      <c r="D63" s="1">
        <f>SUM(D51:D62)</f>
        <v>0</v>
      </c>
    </row>
    <row r="65" spans="1:11">
      <c r="A65" s="5" t="s">
        <v>49</v>
      </c>
      <c r="B65" s="7">
        <f>((SUM(B51:B54)+$B$62)/$B$63)</f>
        <v>0.33333333333333331</v>
      </c>
    </row>
    <row r="66" spans="1:11">
      <c r="A66" s="6" t="s">
        <v>50</v>
      </c>
      <c r="B66" s="8">
        <f>(SUM(B55:B61)/$B$63)</f>
        <v>0.66666666666666663</v>
      </c>
    </row>
    <row r="67" spans="1:11">
      <c r="A67" s="13"/>
      <c r="B67" s="14">
        <f>B65+B66</f>
        <v>1</v>
      </c>
    </row>
    <row r="69" spans="1:11">
      <c r="F69" s="203" t="s">
        <v>330</v>
      </c>
      <c r="G69" s="203"/>
      <c r="H69" s="203"/>
      <c r="I69" s="203"/>
      <c r="J69" s="203"/>
      <c r="K69" s="203"/>
    </row>
    <row r="70" spans="1:11">
      <c r="A70" s="64" t="s">
        <v>56</v>
      </c>
      <c r="B70" s="12"/>
      <c r="C70" s="12"/>
      <c r="D70" s="12" t="s">
        <v>234</v>
      </c>
      <c r="E70" s="12" t="s">
        <v>235</v>
      </c>
      <c r="F70" s="12" t="s">
        <v>71</v>
      </c>
      <c r="G70" s="12" t="s">
        <v>64</v>
      </c>
      <c r="H70" s="12" t="s">
        <v>31</v>
      </c>
      <c r="I70" s="12" t="s">
        <v>72</v>
      </c>
      <c r="J70" s="12" t="s">
        <v>98</v>
      </c>
      <c r="K70" s="12" t="s">
        <v>148</v>
      </c>
    </row>
    <row r="71" spans="1:11">
      <c r="A71" s="6" t="s">
        <v>58</v>
      </c>
      <c r="B71" s="6">
        <f>COUNTIF('2025'!AA3:AA121,A71)</f>
        <v>7</v>
      </c>
      <c r="C71" s="102">
        <f>B71/$B$79</f>
        <v>0.125</v>
      </c>
      <c r="D71" s="114">
        <f>SUMIF('2025'!AA:AA,A71,'2025'!P:P)</f>
        <v>18</v>
      </c>
      <c r="E71" s="114">
        <f>SUMIF('2025'!AA:AA,A71,'2025'!Q:Q)</f>
        <v>366</v>
      </c>
      <c r="F71" s="114">
        <f>COUNTIFS('2025'!$F$3:$F$148,F70,'2025'!$AA$3:$AA$148,A71)</f>
        <v>4</v>
      </c>
      <c r="G71" s="114">
        <f>COUNTIFS('2025'!$F$3:$F$148,G70,'2025'!$AA$3:$AA$148,B71)</f>
        <v>0</v>
      </c>
      <c r="H71" s="114">
        <f>COUNTIFS('2025'!$F$3:$F$148,H70,'2025'!$AA$3:$AA$148,C71)</f>
        <v>0</v>
      </c>
      <c r="I71" s="114">
        <f>COUNTIFS('2025'!$F$3:$F$148,I70,'2025'!$AA$3:$AA$148,D71)</f>
        <v>0</v>
      </c>
      <c r="J71" s="114">
        <f>COUNTIFS('2025'!$F$3:$F$148,J70,'2025'!$AA$3:$AA$148,E71)</f>
        <v>0</v>
      </c>
      <c r="K71" s="114">
        <f>COUNTIFS('2025'!$F$3:$F$148,K70,'2025'!$AA$3:$AA$148,F71)</f>
        <v>0</v>
      </c>
    </row>
    <row r="72" spans="1:11">
      <c r="A72" t="s">
        <v>59</v>
      </c>
      <c r="B72">
        <f>COUNTIF('2025'!AA3:AA121,A72)</f>
        <v>16</v>
      </c>
      <c r="C72" s="66">
        <f t="shared" ref="C72:C78" si="2">B72/$B$79</f>
        <v>0.2857142857142857</v>
      </c>
      <c r="D72" s="118"/>
      <c r="E72" s="118"/>
      <c r="F72" s="118"/>
      <c r="G72" s="118"/>
      <c r="H72" s="118"/>
      <c r="I72" s="118"/>
      <c r="J72" s="118"/>
      <c r="K72" s="118"/>
    </row>
    <row r="73" spans="1:11">
      <c r="A73" t="s">
        <v>57</v>
      </c>
      <c r="B73">
        <f>COUNTIF('2025'!AA3:AA121,A73)</f>
        <v>14</v>
      </c>
      <c r="C73" s="66">
        <f t="shared" si="2"/>
        <v>0.25</v>
      </c>
      <c r="D73" s="118"/>
      <c r="E73" s="118"/>
      <c r="F73" s="118"/>
      <c r="G73" s="118"/>
      <c r="H73" s="118"/>
      <c r="I73" s="118"/>
      <c r="J73" s="118"/>
      <c r="K73" s="118"/>
    </row>
    <row r="74" spans="1:11">
      <c r="A74" t="s">
        <v>95</v>
      </c>
      <c r="B74">
        <f>COUNTIF('2025'!AA3:AA121,"pas d'offre")</f>
        <v>5</v>
      </c>
      <c r="C74" s="66">
        <f t="shared" si="2"/>
        <v>8.9285714285714288E-2</v>
      </c>
      <c r="D74" s="118"/>
      <c r="E74" s="118"/>
      <c r="F74" s="118"/>
      <c r="G74" s="118"/>
      <c r="H74" s="118"/>
      <c r="I74" s="118"/>
      <c r="J74" s="118"/>
      <c r="K74" s="118"/>
    </row>
    <row r="75" spans="1:11">
      <c r="A75" s="6" t="s">
        <v>236</v>
      </c>
      <c r="B75" s="6">
        <f>COUNTIF('2025'!AA3:AA121,A75)</f>
        <v>5</v>
      </c>
      <c r="C75" s="103">
        <f t="shared" si="2"/>
        <v>8.9285714285714288E-2</v>
      </c>
      <c r="D75" s="118"/>
      <c r="E75" s="118"/>
      <c r="F75" s="115">
        <f>COUNTIFS('2025'!$F$3:$F$148,F70,'2025'!$AA$3:$AA$148,A75)</f>
        <v>4</v>
      </c>
      <c r="G75" s="115">
        <f>COUNTIFS('2025'!$F$3:$F$148,G70,'2025'!$AA$3:$AA$148,B75)</f>
        <v>0</v>
      </c>
      <c r="H75" s="115">
        <f>COUNTIFS('2025'!$F$3:$F$148,H70,'2025'!$AA$3:$AA$148,C75)</f>
        <v>0</v>
      </c>
      <c r="I75" s="115">
        <f>COUNTIFS('2025'!$F$3:$F$148,I70,'2025'!$AA$3:$AA$148,D75)</f>
        <v>0</v>
      </c>
      <c r="J75" s="115">
        <f>COUNTIFS('2025'!$F$3:$F$148,J70,'2025'!$AA$3:$AA$148,E75)</f>
        <v>0</v>
      </c>
      <c r="K75" s="115">
        <f>COUNTIFS('2025'!$F$3:$F$148,K70,'2025'!$AA$3:$AA$148,F75)</f>
        <v>0</v>
      </c>
    </row>
    <row r="76" spans="1:11">
      <c r="A76" t="s">
        <v>237</v>
      </c>
      <c r="B76">
        <f>COUNTIF('2025'!AA3:AA121,A76)</f>
        <v>3</v>
      </c>
      <c r="C76" s="66">
        <f t="shared" si="2"/>
        <v>5.3571428571428568E-2</v>
      </c>
      <c r="D76" s="118"/>
      <c r="E76" s="118"/>
      <c r="F76" s="118"/>
      <c r="G76" s="118"/>
      <c r="H76" s="118"/>
      <c r="I76" s="118"/>
      <c r="J76" s="118"/>
      <c r="K76" s="118"/>
    </row>
    <row r="77" spans="1:11">
      <c r="A77" t="s">
        <v>238</v>
      </c>
      <c r="B77">
        <f>COUNTIF('2025'!AA3:AA121,A77)</f>
        <v>2</v>
      </c>
      <c r="C77" s="66">
        <f t="shared" si="2"/>
        <v>3.5714285714285712E-2</v>
      </c>
      <c r="D77" s="118"/>
      <c r="E77" s="118"/>
      <c r="F77" s="118"/>
      <c r="G77" s="118"/>
      <c r="H77" s="118"/>
      <c r="I77" s="118"/>
      <c r="J77" s="118"/>
      <c r="K77" s="118"/>
    </row>
    <row r="78" spans="1:11">
      <c r="A78" t="s">
        <v>68</v>
      </c>
      <c r="B78">
        <f>COUNTIF('2025'!AA3:AA121,A78)</f>
        <v>4</v>
      </c>
      <c r="C78" s="66">
        <f t="shared" si="2"/>
        <v>7.1428571428571425E-2</v>
      </c>
      <c r="D78" s="118"/>
      <c r="E78" s="118"/>
      <c r="F78" s="118"/>
      <c r="G78" s="118"/>
      <c r="H78" s="118"/>
      <c r="I78" s="118"/>
      <c r="J78" s="118"/>
      <c r="K78" s="118"/>
    </row>
    <row r="79" spans="1:11">
      <c r="A79" s="13" t="s">
        <v>51</v>
      </c>
      <c r="B79" s="13">
        <f>SUM(B71:B78)</f>
        <v>56</v>
      </c>
      <c r="C79" s="65">
        <f>SUM(C71:C78)</f>
        <v>1</v>
      </c>
      <c r="I79" s="9"/>
      <c r="J79" s="10"/>
    </row>
    <row r="80" spans="1:11">
      <c r="C80" s="71"/>
      <c r="I80" s="9"/>
      <c r="J80" s="10"/>
    </row>
    <row r="81" spans="1:10">
      <c r="I81" s="9"/>
      <c r="J81" s="10"/>
    </row>
    <row r="82" spans="1:10">
      <c r="A82" s="64" t="s">
        <v>13</v>
      </c>
      <c r="B82" s="12"/>
      <c r="I82" s="9"/>
      <c r="J82" s="10"/>
    </row>
    <row r="83" spans="1:10">
      <c r="A83" t="s">
        <v>94</v>
      </c>
      <c r="B83">
        <f>COUNTIF('2025'!S3:S121,"1")</f>
        <v>33</v>
      </c>
      <c r="C83" s="21"/>
      <c r="H83" s="1"/>
      <c r="I83" s="111"/>
      <c r="J83" s="112"/>
    </row>
    <row r="84" spans="1:10">
      <c r="A84" s="12" t="s">
        <v>12</v>
      </c>
      <c r="B84" s="12">
        <f>COUNTIF('2025'!T3:T121,"1")</f>
        <v>30</v>
      </c>
    </row>
    <row r="85" spans="1:10">
      <c r="A85" t="s">
        <v>51</v>
      </c>
      <c r="B85">
        <f>B83+B84</f>
        <v>63</v>
      </c>
    </row>
  </sheetData>
  <mergeCells count="2">
    <mergeCell ref="A1:C1"/>
    <mergeCell ref="F69:K69"/>
  </mergeCells>
  <phoneticPr fontId="3"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F8FC6-9545-41BA-9322-441C5BD92717}">
  <dimension ref="A1:H13"/>
  <sheetViews>
    <sheetView workbookViewId="0">
      <selection activeCell="C11" sqref="C11"/>
    </sheetView>
  </sheetViews>
  <sheetFormatPr baseColWidth="10" defaultRowHeight="15"/>
  <cols>
    <col min="4" max="4" width="18.85546875" customWidth="1"/>
    <col min="5" max="5" width="19.85546875" customWidth="1"/>
    <col min="7" max="7" width="28.5703125" customWidth="1"/>
    <col min="8" max="8" width="30.5703125" customWidth="1"/>
  </cols>
  <sheetData>
    <row r="1" spans="1:8" ht="28.5" customHeight="1">
      <c r="A1" s="113" t="s">
        <v>29</v>
      </c>
      <c r="B1" s="113" t="s">
        <v>22</v>
      </c>
      <c r="C1" s="113" t="s">
        <v>65</v>
      </c>
      <c r="D1" s="113" t="s">
        <v>323</v>
      </c>
      <c r="E1" s="113" t="s">
        <v>324</v>
      </c>
      <c r="F1" s="113" t="s">
        <v>325</v>
      </c>
      <c r="G1" s="113" t="s">
        <v>328</v>
      </c>
      <c r="H1" s="120" t="s">
        <v>335</v>
      </c>
    </row>
    <row r="2" spans="1:8">
      <c r="A2" t="s">
        <v>130</v>
      </c>
      <c r="B2" t="s">
        <v>64</v>
      </c>
      <c r="C2" t="s">
        <v>71</v>
      </c>
      <c r="D2" t="s">
        <v>76</v>
      </c>
      <c r="E2" t="s">
        <v>76</v>
      </c>
      <c r="F2" t="s">
        <v>77</v>
      </c>
      <c r="G2" t="s">
        <v>334</v>
      </c>
      <c r="H2" t="s">
        <v>37</v>
      </c>
    </row>
    <row r="3" spans="1:8">
      <c r="A3" t="s">
        <v>75</v>
      </c>
      <c r="B3" t="s">
        <v>74</v>
      </c>
      <c r="C3" t="s">
        <v>64</v>
      </c>
      <c r="D3" t="s">
        <v>153</v>
      </c>
      <c r="E3" t="s">
        <v>252</v>
      </c>
      <c r="F3" t="s">
        <v>326</v>
      </c>
      <c r="G3" t="s">
        <v>110</v>
      </c>
      <c r="H3" t="s">
        <v>38</v>
      </c>
    </row>
    <row r="4" spans="1:8">
      <c r="B4" t="s">
        <v>148</v>
      </c>
      <c r="C4" t="s">
        <v>31</v>
      </c>
      <c r="F4" t="s">
        <v>327</v>
      </c>
      <c r="G4" t="s">
        <v>210</v>
      </c>
      <c r="H4" t="s">
        <v>39</v>
      </c>
    </row>
    <row r="5" spans="1:8">
      <c r="B5" t="s">
        <v>72</v>
      </c>
      <c r="C5" t="s">
        <v>72</v>
      </c>
      <c r="F5" t="s">
        <v>112</v>
      </c>
      <c r="G5" t="s">
        <v>243</v>
      </c>
      <c r="H5" t="s">
        <v>40</v>
      </c>
    </row>
    <row r="6" spans="1:8">
      <c r="C6" t="s">
        <v>148</v>
      </c>
      <c r="G6" t="s">
        <v>329</v>
      </c>
      <c r="H6" t="s">
        <v>41</v>
      </c>
    </row>
    <row r="7" spans="1:8">
      <c r="C7" t="s">
        <v>98</v>
      </c>
      <c r="G7" t="s">
        <v>155</v>
      </c>
      <c r="H7" t="s">
        <v>42</v>
      </c>
    </row>
    <row r="8" spans="1:8">
      <c r="C8" t="s">
        <v>404</v>
      </c>
      <c r="G8" t="s">
        <v>331</v>
      </c>
      <c r="H8" t="s">
        <v>43</v>
      </c>
    </row>
    <row r="9" spans="1:8">
      <c r="C9" t="s">
        <v>440</v>
      </c>
      <c r="G9" t="s">
        <v>79</v>
      </c>
      <c r="H9" t="s">
        <v>44</v>
      </c>
    </row>
    <row r="10" spans="1:8">
      <c r="C10" t="s">
        <v>73</v>
      </c>
      <c r="H10" t="s">
        <v>45</v>
      </c>
    </row>
    <row r="11" spans="1:8">
      <c r="H11" t="s">
        <v>46</v>
      </c>
    </row>
    <row r="12" spans="1:8">
      <c r="H12" t="s">
        <v>47</v>
      </c>
    </row>
    <row r="13" spans="1:8">
      <c r="H13" t="s">
        <v>48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2025</vt:lpstr>
      <vt:lpstr>Statistiques</vt:lpstr>
      <vt:lpstr>Listes automatisation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Florien Varrin</dc:creator>
  <cp:lastModifiedBy>Mélanie Porret</cp:lastModifiedBy>
  <cp:lastPrinted>2018-07-03T14:18:39Z</cp:lastPrinted>
  <dcterms:created xsi:type="dcterms:W3CDTF">2016-09-06T06:53:46Z</dcterms:created>
  <dcterms:modified xsi:type="dcterms:W3CDTF">2026-02-10T13:44:08Z</dcterms:modified>
</cp:coreProperties>
</file>